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S:\Data Analyst\Data Analyst Portfolio\Data_Analyst_Portfolio\olist-ecommerce-analysis\outputs\"/>
    </mc:Choice>
  </mc:AlternateContent>
  <xr:revisionPtr revIDLastSave="0" documentId="13_ncr:1_{BF701564-300E-4883-839D-4E316ECE2945}" xr6:coauthVersionLast="47" xr6:coauthVersionMax="47" xr10:uidLastSave="{00000000-0000-0000-0000-000000000000}"/>
  <bookViews>
    <workbookView xWindow="-108" yWindow="-108" windowWidth="23256" windowHeight="12576" tabRatio="897" xr2:uid="{E9A39496-769A-486F-9533-89E9A79EFC1C}"/>
  </bookViews>
  <sheets>
    <sheet name="Reconciliation" sheetId="12" r:id="rId1"/>
    <sheet name="DQ_Checks" sheetId="10" r:id="rId2"/>
    <sheet name="Q1_KPI" sheetId="11" r:id="rId3"/>
    <sheet name="Q2_Monthly" sheetId="8" r:id="rId4"/>
    <sheet name="Q3_Categories" sheetId="7" r:id="rId5"/>
    <sheet name="Q4_Reviews" sheetId="6" r:id="rId6"/>
    <sheet name="Q5_Delivery" sheetId="5" r:id="rId7"/>
    <sheet name="Q6_Late_vs_Review" sheetId="4" r:id="rId8"/>
    <sheet name="Q7_Repeat" sheetId="3" r:id="rId9"/>
    <sheet name="Q8_Q12_Checks" sheetId="13" r:id="rId10"/>
    <sheet name="Q13_Monthly" sheetId="9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12" l="1"/>
  <c r="C2" i="12"/>
  <c r="E2" i="12" s="1"/>
  <c r="C3" i="12"/>
  <c r="E3" i="12" s="1"/>
  <c r="C4" i="12"/>
  <c r="E4" i="12" s="1"/>
  <c r="C5" i="12"/>
  <c r="E5" i="12" s="1"/>
  <c r="C6" i="12"/>
  <c r="E6" i="12" s="1"/>
  <c r="C7" i="12"/>
  <c r="E7" i="12" s="1"/>
  <c r="C8" i="12"/>
  <c r="E8" i="12" s="1"/>
  <c r="C9" i="12"/>
  <c r="E9" i="12" s="1"/>
  <c r="C10" i="12"/>
  <c r="E10" i="12" s="1"/>
  <c r="C11" i="12"/>
  <c r="E11" i="12" s="1"/>
  <c r="C12" i="12"/>
  <c r="E12" i="12" s="1"/>
  <c r="C13" i="12"/>
  <c r="E13" i="12" s="1"/>
  <c r="C14" i="12"/>
  <c r="E14" i="12" s="1"/>
  <c r="C15" i="12"/>
  <c r="E15" i="12" s="1"/>
  <c r="C16" i="12"/>
  <c r="E16" i="12" s="1"/>
  <c r="C17" i="12"/>
  <c r="E17" i="12" s="1"/>
  <c r="C18" i="12"/>
  <c r="E18" i="12" s="1"/>
  <c r="C19" i="12"/>
  <c r="E19" i="12" s="1"/>
  <c r="C20" i="12"/>
  <c r="E20" i="12" s="1"/>
  <c r="C21" i="12"/>
  <c r="E21" i="12" s="1"/>
  <c r="C22" i="12"/>
  <c r="E22" i="12" s="1"/>
</calcChain>
</file>

<file path=xl/sharedStrings.xml><?xml version="1.0" encoding="utf-8"?>
<sst xmlns="http://schemas.openxmlformats.org/spreadsheetml/2006/main" count="173" uniqueCount="161">
  <si>
    <t>TableName</t>
  </si>
  <si>
    <t>TotalRows</t>
  </si>
  <si>
    <t>orders</t>
  </si>
  <si>
    <t>order_items</t>
  </si>
  <si>
    <t>customers</t>
  </si>
  <si>
    <t>products</t>
  </si>
  <si>
    <t>order_reviews</t>
  </si>
  <si>
    <t>product_category_name_translation</t>
  </si>
  <si>
    <t>Delivered_Before_Purchase</t>
  </si>
  <si>
    <t>Approved_Before_Purchase</t>
  </si>
  <si>
    <t>Carrier_Date_Before_Purchase</t>
  </si>
  <si>
    <t>Q4 carrier before purchase</t>
  </si>
  <si>
    <t>Q0 row counts</t>
  </si>
  <si>
    <t>Total_Orders</t>
  </si>
  <si>
    <t>Unique_Customers</t>
  </si>
  <si>
    <t>Order_Items</t>
  </si>
  <si>
    <t>Product_Revenue</t>
  </si>
  <si>
    <t>Freight_Revenue</t>
  </si>
  <si>
    <t>Avg_Order_Value</t>
  </si>
  <si>
    <t>Avg_Item_Price</t>
  </si>
  <si>
    <t>Avg_Delivery_Days</t>
  </si>
  <si>
    <t>Yr</t>
  </si>
  <si>
    <t>Mth</t>
  </si>
  <si>
    <t>Orders</t>
  </si>
  <si>
    <t>Revenue</t>
  </si>
  <si>
    <t>MoM_Change</t>
  </si>
  <si>
    <t>MoM_Pct</t>
  </si>
  <si>
    <t>Running_Total</t>
  </si>
  <si>
    <t>NULL</t>
  </si>
  <si>
    <t>Category</t>
  </si>
  <si>
    <t>Revenue_Pct</t>
  </si>
  <si>
    <t>health_beauty</t>
  </si>
  <si>
    <t>watches_gifts</t>
  </si>
  <si>
    <t>bed_bath_table</t>
  </si>
  <si>
    <t>sports_leisure</t>
  </si>
  <si>
    <t>computers_accessories</t>
  </si>
  <si>
    <t>furniture_decor</t>
  </si>
  <si>
    <t>housewares</t>
  </si>
  <si>
    <t>cool_stuff</t>
  </si>
  <si>
    <t>auto</t>
  </si>
  <si>
    <t>toys</t>
  </si>
  <si>
    <t>Total_Revenue</t>
  </si>
  <si>
    <t>Top8_Revenue</t>
  </si>
  <si>
    <t>Top8_Revenue_Pct</t>
  </si>
  <si>
    <t>review_score</t>
  </si>
  <si>
    <t>Reviews</t>
  </si>
  <si>
    <t>Pct_Of_Total</t>
  </si>
  <si>
    <t>Delivered_Orders</t>
  </si>
  <si>
    <t>Avg_Promised_Days</t>
  </si>
  <si>
    <t>Late_Orders</t>
  </si>
  <si>
    <t>Late_Pct</t>
  </si>
  <si>
    <t>Avg_Days_Late</t>
  </si>
  <si>
    <t>Delivery_Status</t>
  </si>
  <si>
    <t>Pct_Of_Orders</t>
  </si>
  <si>
    <t>Avg_Review_Score</t>
  </si>
  <si>
    <t>Five_Star</t>
  </si>
  <si>
    <t>One_Star</t>
  </si>
  <si>
    <t>Low_Review_Pct</t>
  </si>
  <si>
    <t>Late</t>
  </si>
  <si>
    <t>Customer_Type</t>
  </si>
  <si>
    <t>Customers</t>
  </si>
  <si>
    <t>Customer_Pct</t>
  </si>
  <si>
    <t>On Time</t>
  </si>
  <si>
    <t>Repeat (2+ orders)</t>
  </si>
  <si>
    <t>One-time (1 order)</t>
  </si>
  <si>
    <t>First_Delivered</t>
  </si>
  <si>
    <t>Last_Delivered</t>
  </si>
  <si>
    <t>Orders_2016</t>
  </si>
  <si>
    <t>Revenue_2016</t>
  </si>
  <si>
    <t>Delivered</t>
  </si>
  <si>
    <t>With_Review</t>
  </si>
  <si>
    <t>No_Review</t>
  </si>
  <si>
    <t>Review_Rows</t>
  </si>
  <si>
    <t>Extra_Rows</t>
  </si>
  <si>
    <t>Orders_Sep_Oct_2018</t>
  </si>
  <si>
    <t>With_Items</t>
  </si>
  <si>
    <t>Q8- Delivery date range</t>
  </si>
  <si>
    <t>Q9- Delivered revenue in 2016</t>
  </si>
  <si>
    <t>Q10- Delivered orders without reviews, and duplicate review rows</t>
  </si>
  <si>
    <t>Q12- Delivered orders in Sep-Oct 2018, with and without items</t>
  </si>
  <si>
    <t>Q11- Delivered orders with no delivery date</t>
  </si>
  <si>
    <t>Null_OrderId</t>
  </si>
  <si>
    <t>Null_CustomerId</t>
  </si>
  <si>
    <t>Null_OrderStatus</t>
  </si>
  <si>
    <t>Null_OrderPurchaseDate</t>
  </si>
  <si>
    <t>Null_DeliveredDate</t>
  </si>
  <si>
    <t>Null_EstimatedDate</t>
  </si>
  <si>
    <t>Q2 Duplicate order_id</t>
  </si>
  <si>
    <t>order_id</t>
  </si>
  <si>
    <t>OrderCount</t>
  </si>
  <si>
    <t>Duplicate_ReviewIds</t>
  </si>
  <si>
    <t>Q3 Duplicate review_id</t>
  </si>
  <si>
    <t>Q5 Orphan records (LEFT JOIN + IS NULL)</t>
  </si>
  <si>
    <t>Orphan_Items</t>
  </si>
  <si>
    <t>Orphan_Customers</t>
  </si>
  <si>
    <t>Orphan_Products</t>
  </si>
  <si>
    <t>Min_Price</t>
  </si>
  <si>
    <t>Max_Price</t>
  </si>
  <si>
    <t>Avg_Price</t>
  </si>
  <si>
    <t>Min_Freight</t>
  </si>
  <si>
    <t>Max_Freight</t>
  </si>
  <si>
    <t>Avg_Freight</t>
  </si>
  <si>
    <t>Zero_Price_Items</t>
  </si>
  <si>
    <t>Negative_Freight</t>
  </si>
  <si>
    <t>Q6 Numeric ranges - price and freight</t>
  </si>
  <si>
    <t>product_category_name</t>
  </si>
  <si>
    <t>Products</t>
  </si>
  <si>
    <t>pc_gamer</t>
  </si>
  <si>
    <t>portateis_cozinha_e_preparadores_de_alimentos</t>
  </si>
  <si>
    <t>Q7 Category mapping - missing category or translation</t>
  </si>
  <si>
    <t>Q1 NULL values in critical columns</t>
  </si>
  <si>
    <t>#</t>
  </si>
  <si>
    <t>Check</t>
  </si>
  <si>
    <t>Expected</t>
  </si>
  <si>
    <t>Revenue: Q1 vs monthly sum</t>
  </si>
  <si>
    <t>AOV</t>
  </si>
  <si>
    <t>Q1_KPI!D2 ÷ Q1_KPI!A2</t>
  </si>
  <si>
    <t>Avg item price</t>
  </si>
  <si>
    <t>Q1_KPI!D2 ÷ Q1_KPI!C2</t>
  </si>
  <si>
    <t>Late %</t>
  </si>
  <si>
    <t>Q5_Delivery!D2 ÷ Q5_Delivery!A2</t>
  </si>
  <si>
    <t>Top 8 share</t>
  </si>
  <si>
    <t>Reviewed delivered orders</t>
  </si>
  <si>
    <t>Q6_Late_vs_Review!B2 + B3</t>
  </si>
  <si>
    <t>Late share of reviewed</t>
  </si>
  <si>
    <t>1-star late share</t>
  </si>
  <si>
    <t>1-star rate late</t>
  </si>
  <si>
    <t>1-star rate on time</t>
  </si>
  <si>
    <t>Score drop</t>
  </si>
  <si>
    <t>Repeat %</t>
  </si>
  <si>
    <t>Unique customers</t>
  </si>
  <si>
    <t>Review shares total</t>
  </si>
  <si>
    <t>Q10: review rows</t>
  </si>
  <si>
    <t>2016 revenue</t>
  </si>
  <si>
    <t>2016 orders</t>
  </si>
  <si>
    <t>Sep–Oct 2018 orders</t>
  </si>
  <si>
    <t>Purchase vs delivered gap</t>
  </si>
  <si>
    <t>Power BI total</t>
  </si>
  <si>
    <t>Result</t>
  </si>
  <si>
    <t>Excel</t>
  </si>
  <si>
    <t>Q13_Monthly!D2:D26 (sum) vs Q1_KPI!D2</t>
  </si>
  <si>
    <t>Q3_Categories!C2:C9 ÷ Q1_KPI!D2</t>
  </si>
  <si>
    <t>Top 8 vs Q3b</t>
  </si>
  <si>
    <t>Q3_Categories!C16 ÷ 100</t>
  </si>
  <si>
    <t>Q6_Late_vs_Review!B2 ÷ (B2 + B3)</t>
  </si>
  <si>
    <t>Q6_Late_vs_Review!F2 ÷ (F2 + F3)</t>
  </si>
  <si>
    <t>Q6_Late_vs_Review!F2 ÷ B2</t>
  </si>
  <si>
    <t>Q6_Late_vs_Review!F3 ÷ B3</t>
  </si>
  <si>
    <t>Q6_Late_vs_Review!D2, D3</t>
  </si>
  <si>
    <t>Q7_Repeat!B2 ÷ (B2 + B3)</t>
  </si>
  <si>
    <t>Q7_Repeat!B2 + B3 (vs Q1_KPI!B2)</t>
  </si>
  <si>
    <t>Q4_Reviews!B2:B6</t>
  </si>
  <si>
    <t>Q8_Q12_Checks!A12 − C12 + E12 (Q10)</t>
  </si>
  <si>
    <t>Q8_Q12_Checks!B7 (Q9) vs Q13_Monthly!D2:D4</t>
  </si>
  <si>
    <t>Q8_Q12_Checks!A7 (Q9) vs Q13_Monthly!C2:C4</t>
  </si>
  <si>
    <t>Q13_Monthly!C25 + C26 (matches Q12 A20)</t>
  </si>
  <si>
    <t>Q2_Monthly!G21 − Q13_Monthly!D5:D24</t>
  </si>
  <si>
    <t>Q2_Monthly!G21 + Q8_Q12_Checks!B16 (Q11)</t>
  </si>
  <si>
    <t>Source</t>
  </si>
  <si>
    <t>Raw CSV Jan 2017 revenue</t>
  </si>
  <si>
    <t>scratch_raw_check.xlsx (raw CSV, not in repo): Merge1 sum, 750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</si>
</sst>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m/d/yyyy\ h:mm:ss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2"/>
      <color rgb="FF2E2B29"/>
      <name val="Calibri"/>
      <family val="2"/>
    </font>
    <font>
      <sz val="11"/>
      <color rgb="FF2E2B29"/>
      <name val="Calibri"/>
      <family val="2"/>
    </font>
    <font>
      <sz val="9.6"/>
      <color rgb="FF252523"/>
      <name val="Arial"/>
      <family val="2"/>
    </font>
    <font>
      <sz val="9.6"/>
      <color rgb="FF2E2B2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CFAF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7" fontId="0" fillId="0" borderId="0" xfId="0" applyNumberFormat="1" applyAlignment="1">
      <alignment horizontal="center" vertical="center"/>
    </xf>
    <xf numFmtId="171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4" fontId="5" fillId="3" borderId="1" xfId="0" applyNumberFormat="1" applyFont="1" applyFill="1" applyBorder="1" applyAlignment="1">
      <alignment horizontal="center" vertical="center"/>
    </xf>
    <xf numFmtId="10" fontId="5" fillId="3" borderId="1" xfId="0" applyNumberFormat="1" applyFont="1" applyFill="1" applyBorder="1" applyAlignment="1">
      <alignment horizontal="center" vertical="center"/>
    </xf>
    <xf numFmtId="3" fontId="5" fillId="3" borderId="1" xfId="0" applyNumberFormat="1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46018-7DD0-41AB-B026-CAB3235A1BF8}">
  <dimension ref="A1:F23"/>
  <sheetViews>
    <sheetView tabSelected="1" workbookViewId="0">
      <selection activeCell="F20" sqref="F20"/>
    </sheetView>
  </sheetViews>
  <sheetFormatPr defaultRowHeight="16.95" customHeight="1" x14ac:dyDescent="0.3"/>
  <cols>
    <col min="1" max="1" width="3" bestFit="1" customWidth="1"/>
    <col min="2" max="2" width="23.33203125" bestFit="1" customWidth="1"/>
    <col min="3" max="4" width="12.33203125" bestFit="1" customWidth="1"/>
    <col min="5" max="5" width="6.44140625" bestFit="1" customWidth="1"/>
    <col min="6" max="6" width="57.77734375" bestFit="1" customWidth="1"/>
  </cols>
  <sheetData>
    <row r="1" spans="1:6" ht="16.95" customHeight="1" x14ac:dyDescent="0.3">
      <c r="A1" s="19" t="s">
        <v>111</v>
      </c>
      <c r="B1" s="19" t="s">
        <v>112</v>
      </c>
      <c r="C1" s="19" t="s">
        <v>139</v>
      </c>
      <c r="D1" s="19" t="s">
        <v>113</v>
      </c>
      <c r="E1" s="24" t="s">
        <v>138</v>
      </c>
      <c r="F1" s="19" t="s">
        <v>158</v>
      </c>
    </row>
    <row r="2" spans="1:6" ht="16.95" customHeight="1" x14ac:dyDescent="0.3">
      <c r="A2" s="20">
        <v>1</v>
      </c>
      <c r="B2" s="20" t="s">
        <v>114</v>
      </c>
      <c r="C2" s="21">
        <f>SUM(Q13_Monthly!D2:D26)</f>
        <v>13220248.929999998</v>
      </c>
      <c r="D2" s="21">
        <v>13220248.93</v>
      </c>
      <c r="E2" s="21" t="str">
        <f>IF(ABS(C2-D2)&lt;=0.01,"✔","❌")</f>
        <v>✔</v>
      </c>
      <c r="F2" s="20" t="s">
        <v>140</v>
      </c>
    </row>
    <row r="3" spans="1:6" ht="16.95" customHeight="1" x14ac:dyDescent="0.3">
      <c r="A3" s="20">
        <v>2</v>
      </c>
      <c r="B3" s="20" t="s">
        <v>115</v>
      </c>
      <c r="C3" s="20">
        <f>Q1_KPI!D2/Q1_KPI!A2</f>
        <v>137.04000134756919</v>
      </c>
      <c r="D3" s="20">
        <v>137.04</v>
      </c>
      <c r="E3" s="21" t="str">
        <f t="shared" ref="E3:E4" si="0">IF(ABS(C3-D3)&lt;=0.01,"✔","❌")</f>
        <v>✔</v>
      </c>
      <c r="F3" s="20" t="s">
        <v>116</v>
      </c>
    </row>
    <row r="4" spans="1:6" ht="16.95" customHeight="1" x14ac:dyDescent="0.3">
      <c r="A4" s="20">
        <v>3</v>
      </c>
      <c r="B4" s="20" t="s">
        <v>117</v>
      </c>
      <c r="C4" s="20">
        <f>Q1_KPI!D2/Q1_KPI!C2</f>
        <v>119.97793727141547</v>
      </c>
      <c r="D4" s="20">
        <v>119.98</v>
      </c>
      <c r="E4" s="21" t="str">
        <f t="shared" si="0"/>
        <v>✔</v>
      </c>
      <c r="F4" s="20" t="s">
        <v>118</v>
      </c>
    </row>
    <row r="5" spans="1:6" ht="16.95" customHeight="1" x14ac:dyDescent="0.3">
      <c r="A5" s="20">
        <v>4</v>
      </c>
      <c r="B5" s="20" t="s">
        <v>119</v>
      </c>
      <c r="C5" s="22">
        <f>Q5_Delivery!D2/Q5_Delivery!A2</f>
        <v>8.1123665388203592E-2</v>
      </c>
      <c r="D5" s="22">
        <v>8.1100000000000005E-2</v>
      </c>
      <c r="E5" s="21" t="str">
        <f>IF(ABS(C5-D5)&lt;=0.0001,"✔","❌")</f>
        <v>✔</v>
      </c>
      <c r="F5" s="20" t="s">
        <v>120</v>
      </c>
    </row>
    <row r="6" spans="1:6" ht="16.95" customHeight="1" x14ac:dyDescent="0.3">
      <c r="A6" s="20">
        <v>5</v>
      </c>
      <c r="B6" s="20" t="s">
        <v>121</v>
      </c>
      <c r="C6" s="22">
        <f>SUM(Q3_Categories!C2:C9)/Q1_KPI!D2</f>
        <v>0.54488483145377498</v>
      </c>
      <c r="D6" s="22">
        <v>0.54490000000000005</v>
      </c>
      <c r="E6" s="21" t="str">
        <f t="shared" ref="E6:E14" si="1">IF(ABS(C6-D6)&lt;=0.0001,"✔","❌")</f>
        <v>✔</v>
      </c>
      <c r="F6" s="20" t="s">
        <v>141</v>
      </c>
    </row>
    <row r="7" spans="1:6" ht="16.95" customHeight="1" x14ac:dyDescent="0.3">
      <c r="A7" s="20">
        <v>6</v>
      </c>
      <c r="B7" s="20" t="s">
        <v>142</v>
      </c>
      <c r="C7" s="22">
        <f>Q3_Categories!C16/100</f>
        <v>0.54490000000000005</v>
      </c>
      <c r="D7" s="22">
        <v>0.54490000000000005</v>
      </c>
      <c r="E7" s="21" t="str">
        <f t="shared" si="1"/>
        <v>✔</v>
      </c>
      <c r="F7" s="20" t="s">
        <v>143</v>
      </c>
    </row>
    <row r="8" spans="1:6" ht="16.95" customHeight="1" x14ac:dyDescent="0.3">
      <c r="A8" s="20">
        <v>7</v>
      </c>
      <c r="B8" s="20" t="s">
        <v>122</v>
      </c>
      <c r="C8" s="23">
        <f>Q6_Late_vs_Review!B2+Q6_Late_vs_Review!B3</f>
        <v>96353</v>
      </c>
      <c r="D8" s="23">
        <v>96353</v>
      </c>
      <c r="E8" s="21" t="str">
        <f t="shared" ref="E8" si="2">IF(ABS(C8-D8)&lt;=0.01,"✔","❌")</f>
        <v>✔</v>
      </c>
      <c r="F8" s="20" t="s">
        <v>123</v>
      </c>
    </row>
    <row r="9" spans="1:6" ht="16.95" customHeight="1" x14ac:dyDescent="0.3">
      <c r="A9" s="20">
        <v>8</v>
      </c>
      <c r="B9" s="20" t="s">
        <v>124</v>
      </c>
      <c r="C9" s="22">
        <f>Q6_Late_vs_Review!B2/(Q6_Late_vs_Review!B2+Q6_Late_vs_Review!B3)</f>
        <v>7.9914481126690404E-2</v>
      </c>
      <c r="D9" s="22">
        <v>7.9899999999999999E-2</v>
      </c>
      <c r="E9" s="21" t="str">
        <f t="shared" si="1"/>
        <v>✔</v>
      </c>
      <c r="F9" s="20" t="s">
        <v>144</v>
      </c>
    </row>
    <row r="10" spans="1:6" ht="16.95" customHeight="1" x14ac:dyDescent="0.3">
      <c r="A10" s="20">
        <v>9</v>
      </c>
      <c r="B10" s="20" t="s">
        <v>125</v>
      </c>
      <c r="C10" s="22">
        <f>Q6_Late_vs_Review!F2/(Q6_Late_vs_Review!F2+Q6_Late_vs_Review!F3)</f>
        <v>0.37788410419989366</v>
      </c>
      <c r="D10" s="22">
        <v>0.37790000000000001</v>
      </c>
      <c r="E10" s="21" t="str">
        <f t="shared" si="1"/>
        <v>✔</v>
      </c>
      <c r="F10" s="20" t="s">
        <v>145</v>
      </c>
    </row>
    <row r="11" spans="1:6" ht="16.95" customHeight="1" x14ac:dyDescent="0.3">
      <c r="A11" s="20">
        <v>10</v>
      </c>
      <c r="B11" s="20" t="s">
        <v>126</v>
      </c>
      <c r="C11" s="22">
        <f>Q6_Late_vs_Review!F2/Q6_Late_vs_Review!B2</f>
        <v>0.46155844155844156</v>
      </c>
      <c r="D11" s="22">
        <v>0.46160000000000001</v>
      </c>
      <c r="E11" s="21" t="str">
        <f t="shared" si="1"/>
        <v>✔</v>
      </c>
      <c r="F11" s="20" t="s">
        <v>146</v>
      </c>
    </row>
    <row r="12" spans="1:6" ht="16.95" customHeight="1" x14ac:dyDescent="0.3">
      <c r="A12" s="20">
        <v>11</v>
      </c>
      <c r="B12" s="20" t="s">
        <v>127</v>
      </c>
      <c r="C12" s="22">
        <f>Q6_Late_vs_Review!F3/Q6_Late_vs_Review!B3</f>
        <v>6.5998894566455732E-2</v>
      </c>
      <c r="D12" s="22">
        <v>6.6000000000000003E-2</v>
      </c>
      <c r="E12" s="21" t="str">
        <f t="shared" si="1"/>
        <v>✔</v>
      </c>
      <c r="F12" s="20" t="s">
        <v>147</v>
      </c>
    </row>
    <row r="13" spans="1:6" ht="16.95" customHeight="1" x14ac:dyDescent="0.3">
      <c r="A13" s="20">
        <v>12</v>
      </c>
      <c r="B13" s="20" t="s">
        <v>128</v>
      </c>
      <c r="C13" s="22">
        <f>(Q6_Late_vs_Review!D3-Q6_Late_vs_Review!D2)/Q6_Late_vs_Review!D3</f>
        <v>0.40093240093240096</v>
      </c>
      <c r="D13" s="22">
        <v>0.40089999999999998</v>
      </c>
      <c r="E13" s="21" t="str">
        <f t="shared" si="1"/>
        <v>✔</v>
      </c>
      <c r="F13" s="20" t="s">
        <v>148</v>
      </c>
    </row>
    <row r="14" spans="1:6" ht="16.95" customHeight="1" x14ac:dyDescent="0.3">
      <c r="A14" s="20">
        <v>13</v>
      </c>
      <c r="B14" s="20" t="s">
        <v>129</v>
      </c>
      <c r="C14" s="22">
        <f>Q7_Repeat!B2/(Q7_Repeat!B2+Q7_Repeat!B3)</f>
        <v>3.0005356186395285E-2</v>
      </c>
      <c r="D14" s="22">
        <v>0.03</v>
      </c>
      <c r="E14" s="21" t="str">
        <f t="shared" si="1"/>
        <v>✔</v>
      </c>
      <c r="F14" s="20" t="s">
        <v>149</v>
      </c>
    </row>
    <row r="15" spans="1:6" ht="16.95" customHeight="1" x14ac:dyDescent="0.3">
      <c r="A15" s="20">
        <v>14</v>
      </c>
      <c r="B15" s="20" t="s">
        <v>130</v>
      </c>
      <c r="C15" s="23">
        <f>Q7_Repeat!B2+Q7_Repeat!B3</f>
        <v>93350</v>
      </c>
      <c r="D15" s="23">
        <v>93350</v>
      </c>
      <c r="E15" s="21" t="str">
        <f t="shared" ref="E15:E23" si="3">IF(ABS(C15-D15)&lt;=0.01,"✔","❌")</f>
        <v>✔</v>
      </c>
      <c r="F15" s="20" t="s">
        <v>150</v>
      </c>
    </row>
    <row r="16" spans="1:6" ht="16.95" customHeight="1" x14ac:dyDescent="0.3">
      <c r="A16" s="20">
        <v>15</v>
      </c>
      <c r="B16" s="20" t="s">
        <v>131</v>
      </c>
      <c r="C16" s="23">
        <f>SUM(Q4_Reviews!B2:B6)</f>
        <v>99224</v>
      </c>
      <c r="D16" s="23">
        <v>99224</v>
      </c>
      <c r="E16" s="21" t="str">
        <f t="shared" si="3"/>
        <v>✔</v>
      </c>
      <c r="F16" s="20" t="s">
        <v>151</v>
      </c>
    </row>
    <row r="17" spans="1:6" ht="16.95" customHeight="1" x14ac:dyDescent="0.3">
      <c r="A17" s="20">
        <v>16</v>
      </c>
      <c r="B17" s="20" t="s">
        <v>132</v>
      </c>
      <c r="C17" s="23">
        <f>Q8_Q12_Checks!A12-Q8_Q12_Checks!C12+Q8_Q12_Checks!E12</f>
        <v>96353</v>
      </c>
      <c r="D17" s="23">
        <v>96353</v>
      </c>
      <c r="E17" s="21" t="str">
        <f t="shared" si="3"/>
        <v>✔</v>
      </c>
      <c r="F17" s="20" t="s">
        <v>152</v>
      </c>
    </row>
    <row r="18" spans="1:6" ht="16.95" customHeight="1" x14ac:dyDescent="0.3">
      <c r="A18" s="20">
        <v>17</v>
      </c>
      <c r="B18" s="20" t="s">
        <v>133</v>
      </c>
      <c r="C18" s="21">
        <f>SUM(Q13_Monthly!D2:D4)</f>
        <v>40470.979999999996</v>
      </c>
      <c r="D18" s="21">
        <v>40470.980000000003</v>
      </c>
      <c r="E18" s="21" t="str">
        <f t="shared" si="3"/>
        <v>✔</v>
      </c>
      <c r="F18" s="20" t="s">
        <v>153</v>
      </c>
    </row>
    <row r="19" spans="1:6" ht="16.95" customHeight="1" x14ac:dyDescent="0.3">
      <c r="A19" s="20">
        <v>18</v>
      </c>
      <c r="B19" s="20" t="s">
        <v>134</v>
      </c>
      <c r="C19" s="20">
        <f>SUM(Q13_Monthly!C2:C4)</f>
        <v>267</v>
      </c>
      <c r="D19" s="20">
        <v>267</v>
      </c>
      <c r="E19" s="21" t="str">
        <f t="shared" si="3"/>
        <v>✔</v>
      </c>
      <c r="F19" s="20" t="s">
        <v>154</v>
      </c>
    </row>
    <row r="20" spans="1:6" ht="16.95" customHeight="1" x14ac:dyDescent="0.3">
      <c r="A20" s="20">
        <v>19</v>
      </c>
      <c r="B20" s="20" t="s">
        <v>135</v>
      </c>
      <c r="C20" s="20">
        <f>Q13_Monthly!C25+Q13_Monthly!C26</f>
        <v>59</v>
      </c>
      <c r="D20" s="20">
        <v>59</v>
      </c>
      <c r="E20" s="21" t="str">
        <f t="shared" si="3"/>
        <v>✔</v>
      </c>
      <c r="F20" s="20" t="s">
        <v>155</v>
      </c>
    </row>
    <row r="21" spans="1:6" ht="16.95" customHeight="1" x14ac:dyDescent="0.3">
      <c r="A21" s="20">
        <v>20</v>
      </c>
      <c r="B21" s="20" t="s">
        <v>136</v>
      </c>
      <c r="C21" s="21">
        <f>Q2_Monthly!G21-SUM(Q13_Monthly!D5:D24)</f>
        <v>11744.439999997616</v>
      </c>
      <c r="D21" s="21">
        <v>11744.44</v>
      </c>
      <c r="E21" s="21" t="str">
        <f t="shared" si="3"/>
        <v>✔</v>
      </c>
      <c r="F21" s="20" t="s">
        <v>156</v>
      </c>
    </row>
    <row r="22" spans="1:6" ht="16.95" customHeight="1" x14ac:dyDescent="0.3">
      <c r="A22" s="20">
        <v>21</v>
      </c>
      <c r="B22" s="20" t="s">
        <v>137</v>
      </c>
      <c r="C22" s="21">
        <f>Q2_Monthly!G21+Q8_Q12_Checks!B16</f>
        <v>13181027.129999999</v>
      </c>
      <c r="D22" s="21">
        <v>13181027.130000001</v>
      </c>
      <c r="E22" s="21" t="str">
        <f t="shared" si="3"/>
        <v>✔</v>
      </c>
      <c r="F22" s="20" t="s">
        <v>157</v>
      </c>
    </row>
    <row r="23" spans="1:6" ht="16.95" customHeight="1" x14ac:dyDescent="0.3">
      <c r="A23" s="20">
        <v>22</v>
      </c>
      <c r="B23" s="20" t="s">
        <v>159</v>
      </c>
      <c r="C23" s="21">
        <v>111798.36</v>
      </c>
      <c r="D23" s="21">
        <v>111798.36</v>
      </c>
      <c r="E23" s="21" t="str">
        <f t="shared" si="3"/>
        <v>✔</v>
      </c>
      <c r="F23" s="20" t="s">
        <v>160</v>
      </c>
    </row>
  </sheetData>
  <pageMargins left="0.7" right="0.7" top="0.75" bottom="0.75" header="0.3" footer="0.3"/>
  <ignoredErrors>
    <ignoredError sqref="E8" formula="1"/>
    <ignoredError sqref="C6 C21 C18:C19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54695-BFDF-433B-8535-E31E3B827D21}">
  <dimension ref="A1:H37"/>
  <sheetViews>
    <sheetView topLeftCell="A7" zoomScaleNormal="100" workbookViewId="0">
      <selection activeCell="C16" sqref="C16"/>
    </sheetView>
  </sheetViews>
  <sheetFormatPr defaultRowHeight="14.4" x14ac:dyDescent="0.3"/>
  <cols>
    <col min="1" max="1" width="45.77734375" style="2" bestFit="1" customWidth="1"/>
    <col min="2" max="2" width="24" style="2" bestFit="1" customWidth="1"/>
    <col min="3" max="3" width="26.77734375" style="2" bestFit="1" customWidth="1"/>
    <col min="4" max="4" width="21.44140625" style="2" bestFit="1" customWidth="1"/>
    <col min="5" max="5" width="16.88671875" style="2" bestFit="1" customWidth="1"/>
    <col min="6" max="6" width="17.44140625" style="2" bestFit="1" customWidth="1"/>
    <col min="7" max="7" width="15.33203125" style="2" bestFit="1" customWidth="1"/>
    <col min="8" max="8" width="14.88671875" style="2" bestFit="1" customWidth="1"/>
    <col min="9" max="16384" width="8.88671875" style="2"/>
  </cols>
  <sheetData>
    <row r="1" spans="1:6" x14ac:dyDescent="0.3">
      <c r="A1" s="18" t="s">
        <v>12</v>
      </c>
      <c r="B1" s="18"/>
    </row>
    <row r="2" spans="1:6" x14ac:dyDescent="0.3">
      <c r="A2" s="3" t="s">
        <v>0</v>
      </c>
      <c r="B2" s="3" t="s">
        <v>1</v>
      </c>
    </row>
    <row r="3" spans="1:6" x14ac:dyDescent="0.3">
      <c r="A3" s="3" t="s">
        <v>2</v>
      </c>
      <c r="B3" s="3">
        <v>99441</v>
      </c>
    </row>
    <row r="4" spans="1:6" x14ac:dyDescent="0.3">
      <c r="A4" s="3" t="s">
        <v>3</v>
      </c>
      <c r="B4" s="3">
        <v>112650</v>
      </c>
    </row>
    <row r="5" spans="1:6" x14ac:dyDescent="0.3">
      <c r="A5" s="3" t="s">
        <v>4</v>
      </c>
      <c r="B5" s="3">
        <v>99441</v>
      </c>
    </row>
    <row r="6" spans="1:6" x14ac:dyDescent="0.3">
      <c r="A6" s="3" t="s">
        <v>5</v>
      </c>
      <c r="B6" s="3">
        <v>32951</v>
      </c>
    </row>
    <row r="7" spans="1:6" x14ac:dyDescent="0.3">
      <c r="A7" s="3" t="s">
        <v>6</v>
      </c>
      <c r="B7" s="3">
        <v>99224</v>
      </c>
    </row>
    <row r="8" spans="1:6" x14ac:dyDescent="0.3">
      <c r="A8" s="3" t="s">
        <v>7</v>
      </c>
      <c r="B8" s="3">
        <v>71</v>
      </c>
    </row>
    <row r="9" spans="1:6" s="4" customFormat="1" x14ac:dyDescent="0.3"/>
    <row r="10" spans="1:6" s="4" customFormat="1" x14ac:dyDescent="0.3">
      <c r="A10" s="15" t="s">
        <v>110</v>
      </c>
      <c r="B10" s="16"/>
      <c r="C10" s="16"/>
      <c r="D10" s="16"/>
      <c r="E10" s="16"/>
      <c r="F10" s="17"/>
    </row>
    <row r="11" spans="1:6" s="4" customFormat="1" x14ac:dyDescent="0.3">
      <c r="A11" s="3" t="s">
        <v>81</v>
      </c>
      <c r="B11" s="3" t="s">
        <v>82</v>
      </c>
      <c r="C11" s="3" t="s">
        <v>83</v>
      </c>
      <c r="D11" s="3" t="s">
        <v>84</v>
      </c>
      <c r="E11" s="3" t="s">
        <v>85</v>
      </c>
      <c r="F11" s="3" t="s">
        <v>86</v>
      </c>
    </row>
    <row r="12" spans="1:6" s="4" customFormat="1" x14ac:dyDescent="0.3">
      <c r="A12" s="3">
        <v>0</v>
      </c>
      <c r="B12" s="3">
        <v>0</v>
      </c>
      <c r="C12" s="3">
        <v>0</v>
      </c>
      <c r="D12" s="3">
        <v>0</v>
      </c>
      <c r="E12" s="3">
        <v>2965</v>
      </c>
      <c r="F12" s="3">
        <v>0</v>
      </c>
    </row>
    <row r="13" spans="1:6" s="4" customFormat="1" x14ac:dyDescent="0.3"/>
    <row r="14" spans="1:6" s="4" customFormat="1" x14ac:dyDescent="0.3">
      <c r="A14" s="18" t="s">
        <v>87</v>
      </c>
      <c r="B14" s="18"/>
    </row>
    <row r="15" spans="1:6" s="4" customFormat="1" x14ac:dyDescent="0.3">
      <c r="A15" s="3" t="s">
        <v>88</v>
      </c>
      <c r="B15" s="3" t="s">
        <v>89</v>
      </c>
    </row>
    <row r="16" spans="1:6" s="4" customFormat="1" x14ac:dyDescent="0.3">
      <c r="A16" s="3">
        <v>0</v>
      </c>
      <c r="B16" s="3">
        <v>0</v>
      </c>
    </row>
    <row r="17" spans="1:8" s="4" customFormat="1" x14ac:dyDescent="0.3"/>
    <row r="18" spans="1:8" s="4" customFormat="1" x14ac:dyDescent="0.3">
      <c r="A18" s="18" t="s">
        <v>91</v>
      </c>
      <c r="B18" s="18"/>
    </row>
    <row r="19" spans="1:8" s="4" customFormat="1" x14ac:dyDescent="0.3">
      <c r="A19" s="3" t="s">
        <v>90</v>
      </c>
      <c r="B19" s="3">
        <v>789</v>
      </c>
    </row>
    <row r="20" spans="1:8" s="4" customFormat="1" x14ac:dyDescent="0.3"/>
    <row r="21" spans="1:8" ht="15.6" x14ac:dyDescent="0.3">
      <c r="A21" s="5" t="s">
        <v>11</v>
      </c>
      <c r="B21" s="5"/>
      <c r="C21" s="5"/>
    </row>
    <row r="22" spans="1:8" x14ac:dyDescent="0.3">
      <c r="A22" s="3" t="s">
        <v>8</v>
      </c>
      <c r="B22" s="3" t="s">
        <v>9</v>
      </c>
      <c r="C22" s="3" t="s">
        <v>10</v>
      </c>
    </row>
    <row r="23" spans="1:8" x14ac:dyDescent="0.3">
      <c r="A23" s="3">
        <v>0</v>
      </c>
      <c r="B23" s="3">
        <v>0</v>
      </c>
      <c r="C23" s="3">
        <v>166</v>
      </c>
    </row>
    <row r="25" spans="1:8" x14ac:dyDescent="0.3">
      <c r="A25" s="15" t="s">
        <v>92</v>
      </c>
      <c r="B25" s="16"/>
      <c r="C25" s="17"/>
    </row>
    <row r="26" spans="1:8" x14ac:dyDescent="0.3">
      <c r="A26" s="3" t="s">
        <v>93</v>
      </c>
      <c r="B26" s="3" t="s">
        <v>94</v>
      </c>
      <c r="C26" s="3" t="s">
        <v>95</v>
      </c>
    </row>
    <row r="27" spans="1:8" x14ac:dyDescent="0.3">
      <c r="A27" s="3">
        <v>0</v>
      </c>
      <c r="B27" s="3">
        <v>0</v>
      </c>
      <c r="C27" s="3">
        <v>0</v>
      </c>
    </row>
    <row r="29" spans="1:8" x14ac:dyDescent="0.3">
      <c r="A29" s="14" t="s">
        <v>104</v>
      </c>
      <c r="B29" s="14"/>
      <c r="C29" s="14"/>
      <c r="D29" s="14"/>
      <c r="E29" s="14"/>
      <c r="F29" s="14"/>
      <c r="G29" s="14"/>
      <c r="H29" s="14"/>
    </row>
    <row r="30" spans="1:8" x14ac:dyDescent="0.3">
      <c r="A30" s="3" t="s">
        <v>96</v>
      </c>
      <c r="B30" s="3" t="s">
        <v>97</v>
      </c>
      <c r="C30" s="3" t="s">
        <v>98</v>
      </c>
      <c r="D30" s="3" t="s">
        <v>99</v>
      </c>
      <c r="E30" s="3" t="s">
        <v>100</v>
      </c>
      <c r="F30" s="3" t="s">
        <v>101</v>
      </c>
      <c r="G30" s="3" t="s">
        <v>102</v>
      </c>
      <c r="H30" s="3" t="s">
        <v>103</v>
      </c>
    </row>
    <row r="31" spans="1:8" x14ac:dyDescent="0.3">
      <c r="A31" s="3">
        <v>0.85</v>
      </c>
      <c r="B31" s="3">
        <v>6735</v>
      </c>
      <c r="C31" s="3">
        <v>120.65</v>
      </c>
      <c r="D31" s="3">
        <v>0</v>
      </c>
      <c r="E31" s="3">
        <v>409.68</v>
      </c>
      <c r="F31" s="3">
        <v>19.989999999999998</v>
      </c>
      <c r="G31" s="3">
        <v>0</v>
      </c>
      <c r="H31" s="3">
        <v>0</v>
      </c>
    </row>
    <row r="33" spans="1:2" x14ac:dyDescent="0.3">
      <c r="A33" s="14" t="s">
        <v>109</v>
      </c>
      <c r="B33" s="14"/>
    </row>
    <row r="34" spans="1:2" x14ac:dyDescent="0.3">
      <c r="A34" s="3" t="s">
        <v>105</v>
      </c>
      <c r="B34" s="3" t="s">
        <v>106</v>
      </c>
    </row>
    <row r="35" spans="1:2" x14ac:dyDescent="0.3">
      <c r="A35" s="3" t="s">
        <v>28</v>
      </c>
      <c r="B35" s="3">
        <v>610</v>
      </c>
    </row>
    <row r="36" spans="1:2" x14ac:dyDescent="0.3">
      <c r="A36" s="3" t="s">
        <v>107</v>
      </c>
      <c r="B36" s="3">
        <v>3</v>
      </c>
    </row>
    <row r="37" spans="1:2" x14ac:dyDescent="0.3">
      <c r="A37" s="3" t="s">
        <v>108</v>
      </c>
      <c r="B37" s="3">
        <v>10</v>
      </c>
    </row>
  </sheetData>
  <mergeCells count="8">
    <mergeCell ref="A25:C25"/>
    <mergeCell ref="A29:H29"/>
    <mergeCell ref="A33:B33"/>
    <mergeCell ref="A1:B1"/>
    <mergeCell ref="A21:C21"/>
    <mergeCell ref="A10:F10"/>
    <mergeCell ref="A14:B14"/>
    <mergeCell ref="A18:B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0CB3C-0340-4BF0-A8CE-38783B5EFFE1}">
  <dimension ref="A1:H2"/>
  <sheetViews>
    <sheetView workbookViewId="0">
      <selection activeCell="D6" sqref="D6"/>
    </sheetView>
  </sheetViews>
  <sheetFormatPr defaultRowHeight="14.4" x14ac:dyDescent="0.3"/>
  <cols>
    <col min="1" max="1" width="11.21875" bestFit="1" customWidth="1"/>
    <col min="2" max="2" width="16.33203125" bestFit="1" customWidth="1"/>
    <col min="3" max="3" width="10.88671875" bestFit="1" customWidth="1"/>
    <col min="4" max="4" width="15.109375" bestFit="1" customWidth="1"/>
    <col min="5" max="5" width="14.33203125" bestFit="1" customWidth="1"/>
    <col min="6" max="6" width="14.6640625" bestFit="1" customWidth="1"/>
    <col min="7" max="7" width="13.21875" bestFit="1" customWidth="1"/>
    <col min="8" max="8" width="15.6640625" bestFit="1" customWidth="1"/>
  </cols>
  <sheetData>
    <row r="1" spans="1:8" x14ac:dyDescent="0.3">
      <c r="A1" s="6" t="s">
        <v>13</v>
      </c>
      <c r="B1" s="6" t="s">
        <v>14</v>
      </c>
      <c r="C1" s="6" t="s">
        <v>15</v>
      </c>
      <c r="D1" s="6" t="s">
        <v>16</v>
      </c>
      <c r="E1" s="6" t="s">
        <v>17</v>
      </c>
      <c r="F1" s="6" t="s">
        <v>18</v>
      </c>
      <c r="G1" s="6" t="s">
        <v>19</v>
      </c>
      <c r="H1" s="6" t="s">
        <v>20</v>
      </c>
    </row>
    <row r="2" spans="1:8" x14ac:dyDescent="0.3">
      <c r="A2" s="6">
        <v>96470</v>
      </c>
      <c r="B2" s="6">
        <v>93350</v>
      </c>
      <c r="C2" s="6">
        <v>110189</v>
      </c>
      <c r="D2" s="6">
        <v>13220248.93</v>
      </c>
      <c r="E2" s="6">
        <v>2198145.9</v>
      </c>
      <c r="F2" s="6">
        <v>137.04</v>
      </c>
      <c r="G2" s="6">
        <v>119.98</v>
      </c>
      <c r="H2" s="6">
        <v>12.41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735A9-A19E-4836-9986-5C4680478FAE}">
  <dimension ref="A1:G21"/>
  <sheetViews>
    <sheetView workbookViewId="0">
      <selection activeCell="F9" sqref="F9"/>
    </sheetView>
  </sheetViews>
  <sheetFormatPr defaultRowHeight="14.4" x14ac:dyDescent="0.3"/>
  <cols>
    <col min="1" max="1" width="5" bestFit="1" customWidth="1"/>
    <col min="2" max="2" width="4" bestFit="1" customWidth="1"/>
    <col min="3" max="3" width="6.5546875" bestFit="1" customWidth="1"/>
    <col min="4" max="4" width="10" bestFit="1" customWidth="1"/>
    <col min="5" max="5" width="11.77734375" bestFit="1" customWidth="1"/>
    <col min="6" max="6" width="8.33203125" bestFit="1" customWidth="1"/>
    <col min="7" max="7" width="12.109375" bestFit="1" customWidth="1"/>
  </cols>
  <sheetData>
    <row r="1" spans="1:7" x14ac:dyDescent="0.3">
      <c r="A1" s="6" t="s">
        <v>21</v>
      </c>
      <c r="B1" s="6" t="s">
        <v>22</v>
      </c>
      <c r="C1" s="6" t="s">
        <v>23</v>
      </c>
      <c r="D1" s="6" t="s">
        <v>24</v>
      </c>
      <c r="E1" s="6" t="s">
        <v>25</v>
      </c>
      <c r="F1" s="6" t="s">
        <v>26</v>
      </c>
      <c r="G1" s="6" t="s">
        <v>27</v>
      </c>
    </row>
    <row r="2" spans="1:7" x14ac:dyDescent="0.3">
      <c r="A2" s="6">
        <v>2017</v>
      </c>
      <c r="B2" s="6">
        <v>1</v>
      </c>
      <c r="C2" s="6">
        <v>750</v>
      </c>
      <c r="D2" s="6">
        <v>111798.36</v>
      </c>
      <c r="E2" s="6" t="s">
        <v>28</v>
      </c>
      <c r="F2" s="6" t="s">
        <v>28</v>
      </c>
      <c r="G2" s="6">
        <v>111798.36</v>
      </c>
    </row>
    <row r="3" spans="1:7" x14ac:dyDescent="0.3">
      <c r="A3" s="6">
        <v>2017</v>
      </c>
      <c r="B3" s="6">
        <v>2</v>
      </c>
      <c r="C3" s="6">
        <v>1653</v>
      </c>
      <c r="D3" s="6">
        <v>234223.4</v>
      </c>
      <c r="E3" s="6">
        <v>122425.04</v>
      </c>
      <c r="F3" s="6">
        <v>109.51</v>
      </c>
      <c r="G3" s="6">
        <v>346021.76</v>
      </c>
    </row>
    <row r="4" spans="1:7" x14ac:dyDescent="0.3">
      <c r="A4" s="6">
        <v>2017</v>
      </c>
      <c r="B4" s="6">
        <v>3</v>
      </c>
      <c r="C4" s="6">
        <v>2546</v>
      </c>
      <c r="D4" s="6">
        <v>359198.85</v>
      </c>
      <c r="E4" s="6">
        <v>124975.45</v>
      </c>
      <c r="F4" s="6">
        <v>53.36</v>
      </c>
      <c r="G4" s="6">
        <v>705220.61</v>
      </c>
    </row>
    <row r="5" spans="1:7" x14ac:dyDescent="0.3">
      <c r="A5" s="6">
        <v>2017</v>
      </c>
      <c r="B5" s="6">
        <v>4</v>
      </c>
      <c r="C5" s="6">
        <v>2303</v>
      </c>
      <c r="D5" s="6">
        <v>340669.68</v>
      </c>
      <c r="E5" s="6">
        <v>-18529.169999999998</v>
      </c>
      <c r="F5" s="6">
        <v>-5.16</v>
      </c>
      <c r="G5" s="6">
        <v>1045890.29</v>
      </c>
    </row>
    <row r="6" spans="1:7" x14ac:dyDescent="0.3">
      <c r="A6" s="6">
        <v>2017</v>
      </c>
      <c r="B6" s="6">
        <v>5</v>
      </c>
      <c r="C6" s="6">
        <v>3545</v>
      </c>
      <c r="D6" s="6">
        <v>489159.25</v>
      </c>
      <c r="E6" s="6">
        <v>148489.57</v>
      </c>
      <c r="F6" s="6">
        <v>43.59</v>
      </c>
      <c r="G6" s="6">
        <v>1535049.54</v>
      </c>
    </row>
    <row r="7" spans="1:7" x14ac:dyDescent="0.3">
      <c r="A7" s="6">
        <v>2017</v>
      </c>
      <c r="B7" s="6">
        <v>6</v>
      </c>
      <c r="C7" s="6">
        <v>3135</v>
      </c>
      <c r="D7" s="6">
        <v>421923.37</v>
      </c>
      <c r="E7" s="6">
        <v>-67235.88</v>
      </c>
      <c r="F7" s="6">
        <v>-13.75</v>
      </c>
      <c r="G7" s="6">
        <v>1956972.91</v>
      </c>
    </row>
    <row r="8" spans="1:7" x14ac:dyDescent="0.3">
      <c r="A8" s="6">
        <v>2017</v>
      </c>
      <c r="B8" s="6">
        <v>7</v>
      </c>
      <c r="C8" s="6">
        <v>3872</v>
      </c>
      <c r="D8" s="6">
        <v>481604.52</v>
      </c>
      <c r="E8" s="6">
        <v>59681.15</v>
      </c>
      <c r="F8" s="6">
        <v>14.15</v>
      </c>
      <c r="G8" s="6">
        <v>2438577.4300000002</v>
      </c>
    </row>
    <row r="9" spans="1:7" x14ac:dyDescent="0.3">
      <c r="A9" s="6">
        <v>2017</v>
      </c>
      <c r="B9" s="6">
        <v>8</v>
      </c>
      <c r="C9" s="6">
        <v>4193</v>
      </c>
      <c r="D9" s="6">
        <v>554699.69999999995</v>
      </c>
      <c r="E9" s="6">
        <v>73095.179999999993</v>
      </c>
      <c r="F9" s="6">
        <v>15.18</v>
      </c>
      <c r="G9" s="6">
        <v>2993277.13</v>
      </c>
    </row>
    <row r="10" spans="1:7" x14ac:dyDescent="0.3">
      <c r="A10" s="6">
        <v>2017</v>
      </c>
      <c r="B10" s="6">
        <v>9</v>
      </c>
      <c r="C10" s="6">
        <v>4150</v>
      </c>
      <c r="D10" s="6">
        <v>607399.67000000004</v>
      </c>
      <c r="E10" s="6">
        <v>52699.97</v>
      </c>
      <c r="F10" s="6">
        <v>9.5</v>
      </c>
      <c r="G10" s="6">
        <v>3600676.8</v>
      </c>
    </row>
    <row r="11" spans="1:7" x14ac:dyDescent="0.3">
      <c r="A11" s="6">
        <v>2017</v>
      </c>
      <c r="B11" s="6">
        <v>10</v>
      </c>
      <c r="C11" s="6">
        <v>4478</v>
      </c>
      <c r="D11" s="6">
        <v>648247.65</v>
      </c>
      <c r="E11" s="6">
        <v>40847.980000000003</v>
      </c>
      <c r="F11" s="6">
        <v>6.73</v>
      </c>
      <c r="G11" s="6">
        <v>4248924.45</v>
      </c>
    </row>
    <row r="12" spans="1:7" x14ac:dyDescent="0.3">
      <c r="A12" s="6">
        <v>2017</v>
      </c>
      <c r="B12" s="6">
        <v>11</v>
      </c>
      <c r="C12" s="6">
        <v>7288</v>
      </c>
      <c r="D12" s="6">
        <v>987648.07</v>
      </c>
      <c r="E12" s="6">
        <v>339400.42</v>
      </c>
      <c r="F12" s="6">
        <v>52.36</v>
      </c>
      <c r="G12" s="6">
        <v>5236572.5199999996</v>
      </c>
    </row>
    <row r="13" spans="1:7" x14ac:dyDescent="0.3">
      <c r="A13" s="6">
        <v>2017</v>
      </c>
      <c r="B13" s="6">
        <v>12</v>
      </c>
      <c r="C13" s="6">
        <v>5513</v>
      </c>
      <c r="D13" s="6">
        <v>726033.19</v>
      </c>
      <c r="E13" s="6">
        <v>-261614.88</v>
      </c>
      <c r="F13" s="6">
        <v>-26.49</v>
      </c>
      <c r="G13" s="6">
        <v>5962605.71</v>
      </c>
    </row>
    <row r="14" spans="1:7" x14ac:dyDescent="0.3">
      <c r="A14" s="6">
        <v>2018</v>
      </c>
      <c r="B14" s="6">
        <v>1</v>
      </c>
      <c r="C14" s="6">
        <v>7069</v>
      </c>
      <c r="D14" s="6">
        <v>924645</v>
      </c>
      <c r="E14" s="6">
        <v>198611.81</v>
      </c>
      <c r="F14" s="6">
        <v>27.36</v>
      </c>
      <c r="G14" s="6">
        <v>6887250.71</v>
      </c>
    </row>
    <row r="15" spans="1:7" x14ac:dyDescent="0.3">
      <c r="A15" s="6">
        <v>2018</v>
      </c>
      <c r="B15" s="6">
        <v>2</v>
      </c>
      <c r="C15" s="6">
        <v>6555</v>
      </c>
      <c r="D15" s="6">
        <v>826437.13</v>
      </c>
      <c r="E15" s="6">
        <v>-98207.87</v>
      </c>
      <c r="F15" s="6">
        <v>-10.62</v>
      </c>
      <c r="G15" s="6">
        <v>7713687.8399999999</v>
      </c>
    </row>
    <row r="16" spans="1:7" x14ac:dyDescent="0.3">
      <c r="A16" s="6">
        <v>2018</v>
      </c>
      <c r="B16" s="6">
        <v>3</v>
      </c>
      <c r="C16" s="6">
        <v>7003</v>
      </c>
      <c r="D16" s="6">
        <v>953356.25</v>
      </c>
      <c r="E16" s="6">
        <v>126919.12</v>
      </c>
      <c r="F16" s="6">
        <v>15.36</v>
      </c>
      <c r="G16" s="6">
        <v>8667044.0899999999</v>
      </c>
    </row>
    <row r="17" spans="1:7" x14ac:dyDescent="0.3">
      <c r="A17" s="6">
        <v>2018</v>
      </c>
      <c r="B17" s="6">
        <v>4</v>
      </c>
      <c r="C17" s="6">
        <v>6798</v>
      </c>
      <c r="D17" s="6">
        <v>973534.09</v>
      </c>
      <c r="E17" s="6">
        <v>20177.84</v>
      </c>
      <c r="F17" s="6">
        <v>2.12</v>
      </c>
      <c r="G17" s="6">
        <v>9640578.1799999997</v>
      </c>
    </row>
    <row r="18" spans="1:7" x14ac:dyDescent="0.3">
      <c r="A18" s="6">
        <v>2018</v>
      </c>
      <c r="B18" s="6">
        <v>5</v>
      </c>
      <c r="C18" s="6">
        <v>6749</v>
      </c>
      <c r="D18" s="6">
        <v>977544.69</v>
      </c>
      <c r="E18" s="6">
        <v>4010.6</v>
      </c>
      <c r="F18" s="6">
        <v>0.41</v>
      </c>
      <c r="G18" s="6">
        <v>10618122.869999999</v>
      </c>
    </row>
    <row r="19" spans="1:7" x14ac:dyDescent="0.3">
      <c r="A19" s="6">
        <v>2018</v>
      </c>
      <c r="B19" s="6">
        <v>6</v>
      </c>
      <c r="C19" s="6">
        <v>6096</v>
      </c>
      <c r="D19" s="6">
        <v>855591.97</v>
      </c>
      <c r="E19" s="6">
        <v>-121952.72</v>
      </c>
      <c r="F19" s="6">
        <v>-12.48</v>
      </c>
      <c r="G19" s="6">
        <v>11473714.84</v>
      </c>
    </row>
    <row r="20" spans="1:7" x14ac:dyDescent="0.3">
      <c r="A20" s="6">
        <v>2018</v>
      </c>
      <c r="B20" s="6">
        <v>7</v>
      </c>
      <c r="C20" s="6">
        <v>6156</v>
      </c>
      <c r="D20" s="6">
        <v>867486.47</v>
      </c>
      <c r="E20" s="6">
        <v>11894.5</v>
      </c>
      <c r="F20" s="6">
        <v>1.39</v>
      </c>
      <c r="G20" s="6">
        <v>12341201.310000001</v>
      </c>
    </row>
    <row r="21" spans="1:7" x14ac:dyDescent="0.3">
      <c r="A21" s="6">
        <v>2018</v>
      </c>
      <c r="B21" s="6">
        <v>8</v>
      </c>
      <c r="C21" s="6">
        <v>6351</v>
      </c>
      <c r="D21" s="6">
        <v>838576.64000000001</v>
      </c>
      <c r="E21" s="6">
        <v>-28909.83</v>
      </c>
      <c r="F21" s="6">
        <v>-3.33</v>
      </c>
      <c r="G21" s="6">
        <v>13179777.949999999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15AFC-B1B9-4BBA-B738-71C75CD77E27}">
  <dimension ref="A1:D16"/>
  <sheetViews>
    <sheetView workbookViewId="0">
      <selection activeCell="B9" sqref="B9"/>
    </sheetView>
  </sheetViews>
  <sheetFormatPr defaultRowHeight="14.4" x14ac:dyDescent="0.3"/>
  <cols>
    <col min="1" max="1" width="20.44140625" bestFit="1" customWidth="1"/>
    <col min="2" max="2" width="12.5546875" bestFit="1" customWidth="1"/>
    <col min="3" max="3" width="16.109375" bestFit="1" customWidth="1"/>
    <col min="4" max="4" width="11.33203125" bestFit="1" customWidth="1"/>
  </cols>
  <sheetData>
    <row r="1" spans="1:4" x14ac:dyDescent="0.3">
      <c r="A1" s="6" t="s">
        <v>29</v>
      </c>
      <c r="B1" s="6" t="s">
        <v>23</v>
      </c>
      <c r="C1" s="6" t="s">
        <v>24</v>
      </c>
      <c r="D1" s="6" t="s">
        <v>30</v>
      </c>
    </row>
    <row r="2" spans="1:4" x14ac:dyDescent="0.3">
      <c r="A2" s="6" t="s">
        <v>31</v>
      </c>
      <c r="B2" s="6">
        <v>8647</v>
      </c>
      <c r="C2" s="6">
        <v>1233131.72</v>
      </c>
      <c r="D2" s="6">
        <v>9.33</v>
      </c>
    </row>
    <row r="3" spans="1:4" x14ac:dyDescent="0.3">
      <c r="A3" s="6" t="s">
        <v>32</v>
      </c>
      <c r="B3" s="6">
        <v>5493</v>
      </c>
      <c r="C3" s="6">
        <v>1165898.98</v>
      </c>
      <c r="D3" s="6">
        <v>8.82</v>
      </c>
    </row>
    <row r="4" spans="1:4" x14ac:dyDescent="0.3">
      <c r="A4" s="6" t="s">
        <v>33</v>
      </c>
      <c r="B4" s="6">
        <v>9272</v>
      </c>
      <c r="C4" s="6">
        <v>1023434.76</v>
      </c>
      <c r="D4" s="6">
        <v>7.74</v>
      </c>
    </row>
    <row r="5" spans="1:4" x14ac:dyDescent="0.3">
      <c r="A5" s="6" t="s">
        <v>34</v>
      </c>
      <c r="B5" s="6">
        <v>7529</v>
      </c>
      <c r="C5" s="6">
        <v>954673.55</v>
      </c>
      <c r="D5" s="6">
        <v>7.22</v>
      </c>
    </row>
    <row r="6" spans="1:4" x14ac:dyDescent="0.3">
      <c r="A6" s="6" t="s">
        <v>35</v>
      </c>
      <c r="B6" s="6">
        <v>6529</v>
      </c>
      <c r="C6" s="6">
        <v>888613.62</v>
      </c>
      <c r="D6" s="6">
        <v>6.72</v>
      </c>
    </row>
    <row r="7" spans="1:4" x14ac:dyDescent="0.3">
      <c r="A7" s="6" t="s">
        <v>36</v>
      </c>
      <c r="B7" s="6">
        <v>6307</v>
      </c>
      <c r="C7" s="6">
        <v>711927.69</v>
      </c>
      <c r="D7" s="6">
        <v>5.39</v>
      </c>
    </row>
    <row r="8" spans="1:4" x14ac:dyDescent="0.3">
      <c r="A8" s="6" t="s">
        <v>37</v>
      </c>
      <c r="B8" s="6">
        <v>5743</v>
      </c>
      <c r="C8" s="6">
        <v>615628.68999999994</v>
      </c>
      <c r="D8" s="6">
        <v>4.66</v>
      </c>
    </row>
    <row r="9" spans="1:4" x14ac:dyDescent="0.3">
      <c r="A9" s="6" t="s">
        <v>38</v>
      </c>
      <c r="B9" s="6">
        <v>3559</v>
      </c>
      <c r="C9" s="6">
        <v>610204.1</v>
      </c>
      <c r="D9" s="6">
        <v>4.62</v>
      </c>
    </row>
    <row r="10" spans="1:4" x14ac:dyDescent="0.3">
      <c r="A10" s="6" t="s">
        <v>39</v>
      </c>
      <c r="B10" s="6">
        <v>3809</v>
      </c>
      <c r="C10" s="6">
        <v>578849.35</v>
      </c>
      <c r="D10" s="6">
        <v>4.38</v>
      </c>
    </row>
    <row r="11" spans="1:4" x14ac:dyDescent="0.3">
      <c r="A11" s="6" t="s">
        <v>40</v>
      </c>
      <c r="B11" s="6">
        <v>3803</v>
      </c>
      <c r="C11" s="6">
        <v>471097.49</v>
      </c>
      <c r="D11" s="6">
        <v>3.56</v>
      </c>
    </row>
    <row r="15" spans="1:4" x14ac:dyDescent="0.3">
      <c r="A15" s="6" t="s">
        <v>41</v>
      </c>
      <c r="B15" s="6" t="s">
        <v>42</v>
      </c>
      <c r="C15" s="6" t="s">
        <v>43</v>
      </c>
    </row>
    <row r="16" spans="1:4" x14ac:dyDescent="0.3">
      <c r="A16" s="6">
        <v>13220248.93</v>
      </c>
      <c r="B16" s="6">
        <v>7203513.1100000003</v>
      </c>
      <c r="C16" s="6">
        <v>54.49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4890E-BCFB-42E4-B97B-B087DEB8933C}">
  <dimension ref="A1:C6"/>
  <sheetViews>
    <sheetView workbookViewId="0">
      <selection activeCell="F9" sqref="F9"/>
    </sheetView>
  </sheetViews>
  <sheetFormatPr defaultRowHeight="14.4" x14ac:dyDescent="0.3"/>
  <cols>
    <col min="1" max="1" width="11.5546875" bestFit="1" customWidth="1"/>
    <col min="2" max="2" width="7.5546875" bestFit="1" customWidth="1"/>
    <col min="3" max="3" width="11" bestFit="1" customWidth="1"/>
  </cols>
  <sheetData>
    <row r="1" spans="1:3" x14ac:dyDescent="0.3">
      <c r="A1" s="6" t="s">
        <v>44</v>
      </c>
      <c r="B1" s="6" t="s">
        <v>45</v>
      </c>
      <c r="C1" s="6" t="s">
        <v>46</v>
      </c>
    </row>
    <row r="2" spans="1:3" x14ac:dyDescent="0.3">
      <c r="A2" s="6">
        <v>1</v>
      </c>
      <c r="B2" s="6">
        <v>11424</v>
      </c>
      <c r="C2" s="6">
        <v>11.51</v>
      </c>
    </row>
    <row r="3" spans="1:3" x14ac:dyDescent="0.3">
      <c r="A3" s="6">
        <v>2</v>
      </c>
      <c r="B3" s="6">
        <v>3151</v>
      </c>
      <c r="C3" s="6">
        <v>3.18</v>
      </c>
    </row>
    <row r="4" spans="1:3" x14ac:dyDescent="0.3">
      <c r="A4" s="6">
        <v>3</v>
      </c>
      <c r="B4" s="6">
        <v>8179</v>
      </c>
      <c r="C4" s="6">
        <v>8.24</v>
      </c>
    </row>
    <row r="5" spans="1:3" x14ac:dyDescent="0.3">
      <c r="A5" s="6">
        <v>4</v>
      </c>
      <c r="B5" s="6">
        <v>19142</v>
      </c>
      <c r="C5" s="6">
        <v>19.29</v>
      </c>
    </row>
    <row r="6" spans="1:3" x14ac:dyDescent="0.3">
      <c r="A6" s="6">
        <v>5</v>
      </c>
      <c r="B6" s="6">
        <v>57328</v>
      </c>
      <c r="C6" s="6">
        <v>57.78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11BE2-BA49-4FE6-9153-3F3783FF08E8}">
  <dimension ref="A1:F2"/>
  <sheetViews>
    <sheetView workbookViewId="0">
      <selection sqref="A1:F2"/>
    </sheetView>
  </sheetViews>
  <sheetFormatPr defaultRowHeight="14.4" x14ac:dyDescent="0.3"/>
  <cols>
    <col min="1" max="1" width="15" bestFit="1" customWidth="1"/>
    <col min="2" max="2" width="15.6640625" bestFit="1" customWidth="1"/>
    <col min="3" max="3" width="17" bestFit="1" customWidth="1"/>
    <col min="4" max="4" width="10.77734375" bestFit="1" customWidth="1"/>
    <col min="5" max="5" width="7.88671875" bestFit="1" customWidth="1"/>
    <col min="6" max="6" width="12.6640625" bestFit="1" customWidth="1"/>
  </cols>
  <sheetData>
    <row r="1" spans="1:6" x14ac:dyDescent="0.3">
      <c r="A1" s="6" t="s">
        <v>47</v>
      </c>
      <c r="B1" s="6" t="s">
        <v>20</v>
      </c>
      <c r="C1" s="6" t="s">
        <v>48</v>
      </c>
      <c r="D1" s="6" t="s">
        <v>49</v>
      </c>
      <c r="E1" s="6" t="s">
        <v>50</v>
      </c>
      <c r="F1" s="6" t="s">
        <v>51</v>
      </c>
    </row>
    <row r="2" spans="1:6" x14ac:dyDescent="0.3">
      <c r="A2" s="6">
        <v>96470</v>
      </c>
      <c r="B2" s="6">
        <v>12</v>
      </c>
      <c r="C2" s="6">
        <v>24</v>
      </c>
      <c r="D2" s="6">
        <v>7826</v>
      </c>
      <c r="E2" s="6">
        <v>8.11</v>
      </c>
      <c r="F2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EE144-BE0D-44B0-B937-1653C882FDA5}">
  <dimension ref="A1:G3"/>
  <sheetViews>
    <sheetView workbookViewId="0">
      <selection activeCell="D6" sqref="D6"/>
    </sheetView>
  </sheetViews>
  <sheetFormatPr defaultRowHeight="14.4" x14ac:dyDescent="0.3"/>
  <cols>
    <col min="1" max="1" width="13.21875" bestFit="1" customWidth="1"/>
    <col min="2" max="2" width="6.5546875" bestFit="1" customWidth="1"/>
    <col min="3" max="3" width="12.6640625" bestFit="1" customWidth="1"/>
    <col min="4" max="4" width="15.77734375" bestFit="1" customWidth="1"/>
    <col min="5" max="5" width="8.21875" bestFit="1" customWidth="1"/>
    <col min="6" max="6" width="8.33203125" bestFit="1" customWidth="1"/>
    <col min="7" max="7" width="14.21875" bestFit="1" customWidth="1"/>
  </cols>
  <sheetData>
    <row r="1" spans="1:7" x14ac:dyDescent="0.3">
      <c r="A1" s="6" t="s">
        <v>52</v>
      </c>
      <c r="B1" s="6" t="s">
        <v>23</v>
      </c>
      <c r="C1" s="6" t="s">
        <v>53</v>
      </c>
      <c r="D1" s="6" t="s">
        <v>54</v>
      </c>
      <c r="E1" s="6" t="s">
        <v>55</v>
      </c>
      <c r="F1" s="6" t="s">
        <v>56</v>
      </c>
      <c r="G1" s="6" t="s">
        <v>57</v>
      </c>
    </row>
    <row r="2" spans="1:7" x14ac:dyDescent="0.3">
      <c r="A2" s="6" t="s">
        <v>58</v>
      </c>
      <c r="B2" s="6">
        <v>7700</v>
      </c>
      <c r="C2" s="6">
        <v>7.99</v>
      </c>
      <c r="D2" s="6">
        <v>2.57</v>
      </c>
      <c r="E2" s="6">
        <v>1711</v>
      </c>
      <c r="F2" s="6">
        <v>3554</v>
      </c>
      <c r="G2" s="6">
        <v>54.03</v>
      </c>
    </row>
    <row r="3" spans="1:7" x14ac:dyDescent="0.3">
      <c r="A3" s="6" t="s">
        <v>62</v>
      </c>
      <c r="B3" s="6">
        <v>88653</v>
      </c>
      <c r="C3" s="6">
        <v>92.01</v>
      </c>
      <c r="D3" s="6">
        <v>4.29</v>
      </c>
      <c r="E3" s="6">
        <v>55348</v>
      </c>
      <c r="F3" s="6">
        <v>5851</v>
      </c>
      <c r="G3" s="6">
        <v>9.23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96726-58FF-4885-9AA6-E3042E26BD10}">
  <dimension ref="A1:C3"/>
  <sheetViews>
    <sheetView workbookViewId="0">
      <selection activeCell="C3" sqref="C3"/>
    </sheetView>
  </sheetViews>
  <sheetFormatPr defaultRowHeight="14.4" x14ac:dyDescent="0.3"/>
  <cols>
    <col min="1" max="1" width="15.77734375" bestFit="1" customWidth="1"/>
    <col min="2" max="2" width="9.77734375" bestFit="1" customWidth="1"/>
    <col min="3" max="3" width="12.33203125" bestFit="1" customWidth="1"/>
  </cols>
  <sheetData>
    <row r="1" spans="1:3" x14ac:dyDescent="0.3">
      <c r="A1" s="6" t="s">
        <v>59</v>
      </c>
      <c r="B1" s="6" t="s">
        <v>60</v>
      </c>
      <c r="C1" s="6" t="s">
        <v>61</v>
      </c>
    </row>
    <row r="2" spans="1:3" x14ac:dyDescent="0.3">
      <c r="A2" s="6" t="s">
        <v>63</v>
      </c>
      <c r="B2" s="6">
        <v>2801</v>
      </c>
      <c r="C2" s="6">
        <v>3</v>
      </c>
    </row>
    <row r="3" spans="1:3" x14ac:dyDescent="0.3">
      <c r="A3" s="6" t="s">
        <v>64</v>
      </c>
      <c r="B3" s="6">
        <v>90549</v>
      </c>
      <c r="C3" s="6">
        <v>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4C18B-13FF-4B6D-8FF6-9B4D12A0B4C3}">
  <dimension ref="A1:E20"/>
  <sheetViews>
    <sheetView workbookViewId="0">
      <selection activeCell="E16" sqref="E16"/>
    </sheetView>
  </sheetViews>
  <sheetFormatPr defaultRowHeight="14.4" x14ac:dyDescent="0.3"/>
  <cols>
    <col min="1" max="2" width="19.88671875" style="1" bestFit="1" customWidth="1"/>
    <col min="3" max="3" width="10.33203125" style="1" bestFit="1" customWidth="1"/>
    <col min="4" max="4" width="11.77734375" style="1" bestFit="1" customWidth="1"/>
    <col min="5" max="5" width="10.109375" style="1" bestFit="1" customWidth="1"/>
    <col min="6" max="16384" width="8.88671875" style="1"/>
  </cols>
  <sheetData>
    <row r="1" spans="1:5" x14ac:dyDescent="0.3">
      <c r="A1" s="11" t="s">
        <v>76</v>
      </c>
      <c r="B1" s="13"/>
    </row>
    <row r="2" spans="1:5" x14ac:dyDescent="0.3">
      <c r="A2" s="6" t="s">
        <v>65</v>
      </c>
      <c r="B2" s="6" t="s">
        <v>66</v>
      </c>
    </row>
    <row r="3" spans="1:5" ht="27" customHeight="1" x14ac:dyDescent="0.3">
      <c r="A3" s="8">
        <v>42654.573981481481</v>
      </c>
      <c r="B3" s="8">
        <v>43390.557476851849</v>
      </c>
      <c r="D3" s="7"/>
    </row>
    <row r="5" spans="1:5" x14ac:dyDescent="0.3">
      <c r="A5" s="9" t="s">
        <v>77</v>
      </c>
      <c r="B5" s="9"/>
    </row>
    <row r="6" spans="1:5" x14ac:dyDescent="0.3">
      <c r="A6" s="6" t="s">
        <v>67</v>
      </c>
      <c r="B6" s="6" t="s">
        <v>68</v>
      </c>
    </row>
    <row r="7" spans="1:5" x14ac:dyDescent="0.3">
      <c r="A7" s="6">
        <v>267</v>
      </c>
      <c r="B7" s="6">
        <v>40470.980000000003</v>
      </c>
    </row>
    <row r="10" spans="1:5" x14ac:dyDescent="0.3">
      <c r="A10" s="11" t="s">
        <v>78</v>
      </c>
      <c r="B10" s="12"/>
      <c r="C10" s="12"/>
      <c r="D10" s="12"/>
      <c r="E10" s="13"/>
    </row>
    <row r="11" spans="1:5" x14ac:dyDescent="0.3">
      <c r="A11" s="6" t="s">
        <v>69</v>
      </c>
      <c r="B11" s="6" t="s">
        <v>70</v>
      </c>
      <c r="C11" s="6" t="s">
        <v>71</v>
      </c>
      <c r="D11" s="6" t="s">
        <v>72</v>
      </c>
      <c r="E11" s="6" t="s">
        <v>73</v>
      </c>
    </row>
    <row r="12" spans="1:5" x14ac:dyDescent="0.3">
      <c r="A12" s="6">
        <v>96470</v>
      </c>
      <c r="B12" s="6">
        <v>95824</v>
      </c>
      <c r="C12" s="6">
        <v>646</v>
      </c>
      <c r="D12" s="6">
        <v>96353</v>
      </c>
      <c r="E12" s="6">
        <v>529</v>
      </c>
    </row>
    <row r="14" spans="1:5" x14ac:dyDescent="0.3">
      <c r="A14" s="9" t="s">
        <v>80</v>
      </c>
      <c r="B14" s="9"/>
    </row>
    <row r="15" spans="1:5" x14ac:dyDescent="0.3">
      <c r="A15" s="6" t="s">
        <v>23</v>
      </c>
      <c r="B15" s="6" t="s">
        <v>24</v>
      </c>
    </row>
    <row r="16" spans="1:5" x14ac:dyDescent="0.3">
      <c r="A16" s="6">
        <v>8</v>
      </c>
      <c r="B16" s="6">
        <v>1249.18</v>
      </c>
    </row>
    <row r="18" spans="1:2" ht="28.2" customHeight="1" x14ac:dyDescent="0.3">
      <c r="A18" s="10" t="s">
        <v>79</v>
      </c>
      <c r="B18" s="10"/>
    </row>
    <row r="19" spans="1:2" x14ac:dyDescent="0.3">
      <c r="A19" s="6" t="s">
        <v>74</v>
      </c>
      <c r="B19" s="6" t="s">
        <v>75</v>
      </c>
    </row>
    <row r="20" spans="1:2" x14ac:dyDescent="0.3">
      <c r="A20" s="6">
        <v>59</v>
      </c>
      <c r="B20" s="6">
        <v>59</v>
      </c>
    </row>
  </sheetData>
  <mergeCells count="5">
    <mergeCell ref="A1:B1"/>
    <mergeCell ref="A5:B5"/>
    <mergeCell ref="A14:B14"/>
    <mergeCell ref="A18:B18"/>
    <mergeCell ref="A10:E1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E47DC-DEC7-4A8C-AF89-2703C12C74C3}">
  <dimension ref="A1:D26"/>
  <sheetViews>
    <sheetView workbookViewId="0">
      <selection activeCell="I11" sqref="I11"/>
    </sheetView>
  </sheetViews>
  <sheetFormatPr defaultRowHeight="14.4" x14ac:dyDescent="0.3"/>
  <cols>
    <col min="1" max="1" width="5" bestFit="1" customWidth="1"/>
    <col min="2" max="2" width="4" bestFit="1" customWidth="1"/>
    <col min="3" max="3" width="6.5546875" bestFit="1" customWidth="1"/>
    <col min="4" max="4" width="11" bestFit="1" customWidth="1"/>
  </cols>
  <sheetData>
    <row r="1" spans="1:4" x14ac:dyDescent="0.3">
      <c r="A1" s="6" t="s">
        <v>21</v>
      </c>
      <c r="B1" s="6" t="s">
        <v>22</v>
      </c>
      <c r="C1" s="6" t="s">
        <v>23</v>
      </c>
      <c r="D1" s="6" t="s">
        <v>24</v>
      </c>
    </row>
    <row r="2" spans="1:4" x14ac:dyDescent="0.3">
      <c r="A2" s="6">
        <v>2016</v>
      </c>
      <c r="B2" s="6">
        <v>10</v>
      </c>
      <c r="C2" s="6">
        <v>205</v>
      </c>
      <c r="D2" s="6">
        <v>29874.44</v>
      </c>
    </row>
    <row r="3" spans="1:4" x14ac:dyDescent="0.3">
      <c r="A3" s="6">
        <v>2016</v>
      </c>
      <c r="B3" s="6">
        <v>11</v>
      </c>
      <c r="C3" s="6">
        <v>58</v>
      </c>
      <c r="D3" s="6">
        <v>9837.68</v>
      </c>
    </row>
    <row r="4" spans="1:4" x14ac:dyDescent="0.3">
      <c r="A4" s="6">
        <v>2016</v>
      </c>
      <c r="B4" s="6">
        <v>12</v>
      </c>
      <c r="C4" s="6">
        <v>4</v>
      </c>
      <c r="D4" s="6">
        <v>758.86</v>
      </c>
    </row>
    <row r="5" spans="1:4" x14ac:dyDescent="0.3">
      <c r="A5" s="6">
        <v>2017</v>
      </c>
      <c r="B5" s="6">
        <v>1</v>
      </c>
      <c r="C5" s="6">
        <v>283</v>
      </c>
      <c r="D5" s="6">
        <v>33599.120000000003</v>
      </c>
    </row>
    <row r="6" spans="1:4" x14ac:dyDescent="0.3">
      <c r="A6" s="6">
        <v>2017</v>
      </c>
      <c r="B6" s="6">
        <v>2</v>
      </c>
      <c r="C6" s="6">
        <v>1351</v>
      </c>
      <c r="D6" s="6">
        <v>198909.29</v>
      </c>
    </row>
    <row r="7" spans="1:4" x14ac:dyDescent="0.3">
      <c r="A7" s="6">
        <v>2017</v>
      </c>
      <c r="B7" s="6">
        <v>3</v>
      </c>
      <c r="C7" s="6">
        <v>2382</v>
      </c>
      <c r="D7" s="6">
        <v>335886.21</v>
      </c>
    </row>
    <row r="8" spans="1:4" x14ac:dyDescent="0.3">
      <c r="A8" s="6">
        <v>2017</v>
      </c>
      <c r="B8" s="6">
        <v>4</v>
      </c>
      <c r="C8" s="6">
        <v>1849</v>
      </c>
      <c r="D8" s="6">
        <v>268687.23</v>
      </c>
    </row>
    <row r="9" spans="1:4" x14ac:dyDescent="0.3">
      <c r="A9" s="6">
        <v>2017</v>
      </c>
      <c r="B9" s="6">
        <v>5</v>
      </c>
      <c r="C9" s="6">
        <v>3751</v>
      </c>
      <c r="D9" s="6">
        <v>520141.45</v>
      </c>
    </row>
    <row r="10" spans="1:4" x14ac:dyDescent="0.3">
      <c r="A10" s="6">
        <v>2017</v>
      </c>
      <c r="B10" s="6">
        <v>6</v>
      </c>
      <c r="C10" s="6">
        <v>3223</v>
      </c>
      <c r="D10" s="6">
        <v>430779.58</v>
      </c>
    </row>
    <row r="11" spans="1:4" x14ac:dyDescent="0.3">
      <c r="A11" s="6">
        <v>2017</v>
      </c>
      <c r="B11" s="6">
        <v>7</v>
      </c>
      <c r="C11" s="6">
        <v>3455</v>
      </c>
      <c r="D11" s="6">
        <v>455000.99</v>
      </c>
    </row>
    <row r="12" spans="1:4" x14ac:dyDescent="0.3">
      <c r="A12" s="6">
        <v>2017</v>
      </c>
      <c r="B12" s="6">
        <v>8</v>
      </c>
      <c r="C12" s="6">
        <v>4302</v>
      </c>
      <c r="D12" s="6">
        <v>535529.93000000005</v>
      </c>
    </row>
    <row r="13" spans="1:4" x14ac:dyDescent="0.3">
      <c r="A13" s="6">
        <v>2017</v>
      </c>
      <c r="B13" s="6">
        <v>9</v>
      </c>
      <c r="C13" s="6">
        <v>3965</v>
      </c>
      <c r="D13" s="6">
        <v>580268.36</v>
      </c>
    </row>
    <row r="14" spans="1:4" x14ac:dyDescent="0.3">
      <c r="A14" s="6">
        <v>2017</v>
      </c>
      <c r="B14" s="6">
        <v>10</v>
      </c>
      <c r="C14" s="6">
        <v>4494</v>
      </c>
      <c r="D14" s="6">
        <v>657565.27</v>
      </c>
    </row>
    <row r="15" spans="1:4" x14ac:dyDescent="0.3">
      <c r="A15" s="6">
        <v>2017</v>
      </c>
      <c r="B15" s="6">
        <v>11</v>
      </c>
      <c r="C15" s="6">
        <v>4670</v>
      </c>
      <c r="D15" s="6">
        <v>651457.52</v>
      </c>
    </row>
    <row r="16" spans="1:4" x14ac:dyDescent="0.3">
      <c r="A16" s="6">
        <v>2017</v>
      </c>
      <c r="B16" s="6">
        <v>12</v>
      </c>
      <c r="C16" s="6">
        <v>7205</v>
      </c>
      <c r="D16" s="6">
        <v>944992.9</v>
      </c>
    </row>
    <row r="17" spans="1:4" x14ac:dyDescent="0.3">
      <c r="A17" s="6">
        <v>2018</v>
      </c>
      <c r="B17" s="6">
        <v>1</v>
      </c>
      <c r="C17" s="6">
        <v>6597</v>
      </c>
      <c r="D17" s="6">
        <v>851118.12</v>
      </c>
    </row>
    <row r="18" spans="1:4" x14ac:dyDescent="0.3">
      <c r="A18" s="6">
        <v>2018</v>
      </c>
      <c r="B18" s="6">
        <v>2</v>
      </c>
      <c r="C18" s="6">
        <v>5850</v>
      </c>
      <c r="D18" s="6">
        <v>749970.56</v>
      </c>
    </row>
    <row r="19" spans="1:4" x14ac:dyDescent="0.3">
      <c r="A19" s="6">
        <v>2018</v>
      </c>
      <c r="B19" s="6">
        <v>3</v>
      </c>
      <c r="C19" s="6">
        <v>6824</v>
      </c>
      <c r="D19" s="6">
        <v>892100.11</v>
      </c>
    </row>
    <row r="20" spans="1:4" x14ac:dyDescent="0.3">
      <c r="A20" s="6">
        <v>2018</v>
      </c>
      <c r="B20" s="6">
        <v>4</v>
      </c>
      <c r="C20" s="6">
        <v>7850</v>
      </c>
      <c r="D20" s="6">
        <v>1111972.48</v>
      </c>
    </row>
    <row r="21" spans="1:4" x14ac:dyDescent="0.3">
      <c r="A21" s="6">
        <v>2018</v>
      </c>
      <c r="B21" s="6">
        <v>5</v>
      </c>
      <c r="C21" s="6">
        <v>7111</v>
      </c>
      <c r="D21" s="6">
        <v>1008601.56</v>
      </c>
    </row>
    <row r="22" spans="1:4" x14ac:dyDescent="0.3">
      <c r="A22" s="6">
        <v>2018</v>
      </c>
      <c r="B22" s="6">
        <v>6</v>
      </c>
      <c r="C22" s="6">
        <v>6829</v>
      </c>
      <c r="D22" s="6">
        <v>1003232.44</v>
      </c>
    </row>
    <row r="23" spans="1:4" x14ac:dyDescent="0.3">
      <c r="A23" s="6">
        <v>2018</v>
      </c>
      <c r="B23" s="6">
        <v>7</v>
      </c>
      <c r="C23" s="6">
        <v>5839</v>
      </c>
      <c r="D23" s="6">
        <v>796428.85</v>
      </c>
    </row>
    <row r="24" spans="1:4" x14ac:dyDescent="0.3">
      <c r="A24" s="6">
        <v>2018</v>
      </c>
      <c r="B24" s="6">
        <v>8</v>
      </c>
      <c r="C24" s="6">
        <v>8314</v>
      </c>
      <c r="D24" s="6">
        <v>1141791.54</v>
      </c>
    </row>
    <row r="25" spans="1:4" x14ac:dyDescent="0.3">
      <c r="A25" s="6">
        <v>2018</v>
      </c>
      <c r="B25" s="6">
        <v>9</v>
      </c>
      <c r="C25" s="6">
        <v>56</v>
      </c>
      <c r="D25" s="6">
        <v>11469.04</v>
      </c>
    </row>
    <row r="26" spans="1:4" x14ac:dyDescent="0.3">
      <c r="A26" s="6">
        <v>2018</v>
      </c>
      <c r="B26" s="6">
        <v>10</v>
      </c>
      <c r="C26" s="6">
        <v>3</v>
      </c>
      <c r="D26" s="6">
        <v>275.39999999999998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Reconciliation</vt:lpstr>
      <vt:lpstr>DQ_Checks</vt:lpstr>
      <vt:lpstr>Q1_KPI</vt:lpstr>
      <vt:lpstr>Q2_Monthly</vt:lpstr>
      <vt:lpstr>Q3_Categories</vt:lpstr>
      <vt:lpstr>Q4_Reviews</vt:lpstr>
      <vt:lpstr>Q5_Delivery</vt:lpstr>
      <vt:lpstr>Q6_Late_vs_Review</vt:lpstr>
      <vt:lpstr>Q7_Repeat</vt:lpstr>
      <vt:lpstr>Q8_Q12_Checks</vt:lpstr>
      <vt:lpstr>Q13_Monthly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sharma</dc:creator>
  <cp:lastModifiedBy>shubham sharma</cp:lastModifiedBy>
  <dcterms:created xsi:type="dcterms:W3CDTF">2026-10-30T18:40:33Z</dcterms:created>
  <dcterms:modified xsi:type="dcterms:W3CDTF">2026-10-30T20:44:55Z</dcterms:modified>
</cp:coreProperties>
</file>