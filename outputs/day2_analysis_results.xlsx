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Data Analyst\Data Analyst Portfolio\Data_Analyst_Portfolio\olist-ecommerce-analysis\outputs\"/>
    </mc:Choice>
  </mc:AlternateContent>
  <xr:revisionPtr revIDLastSave="0" documentId="13_ncr:1_{B332C724-139D-46C5-B481-8D537A62013E}" xr6:coauthVersionLast="47" xr6:coauthVersionMax="47" xr10:uidLastSave="{00000000-0000-0000-0000-000000000000}"/>
  <bookViews>
    <workbookView xWindow="-108" yWindow="-108" windowWidth="23256" windowHeight="12576" firstSheet="4" activeTab="5" xr2:uid="{FAE4D847-83FD-4582-8FCC-A17393D4E6DA}"/>
  </bookViews>
  <sheets>
    <sheet name="Q2-Monthly" sheetId="1" r:id="rId1"/>
    <sheet name="Q3_Categories " sheetId="2" r:id="rId2"/>
    <sheet name="Q4_Reviews" sheetId="3" r:id="rId3"/>
    <sheet name="Q5_Delivery " sheetId="4" r:id="rId4"/>
    <sheet name="Q6_Late_vs_Review " sheetId="5" r:id="rId5"/>
    <sheet name="Q7_Repeat 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H2" i="5"/>
  <c r="E2" i="4"/>
  <c r="C7" i="3"/>
  <c r="B7" i="3"/>
  <c r="D10" i="2"/>
  <c r="C2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7DC4D5-1B0A-4E6C-A50C-F264A2C6429E}" keepAlive="1" name="Query - order_items" description="Connection to the 'order_items' query in the workbook." type="5" refreshedVersion="0" background="1">
    <dbPr connection="Provider=Microsoft.Mashup.OleDb.1;Data Source=$Workbook$;Location=order_items;Extended Properties=&quot;&quot;" command="SELECT * FROM [order_items]"/>
  </connection>
  <connection id="2" xr16:uid="{0065B424-76C9-4937-9778-A8DE3B811F75}" keepAlive="1" name="Query - orders" description="Connection to the 'orders' query in the workbook." type="5" refreshedVersion="0" background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<sst xmlns="http://schemas.openxmlformats.org/spreadsheetml/2006/main" count="44" uniqueCount="40">
  <si>
    <t>NULL</t>
  </si>
  <si>
    <t>Month_Start</t>
  </si>
  <si>
    <t>Orders</t>
  </si>
  <si>
    <t>Revenue</t>
  </si>
  <si>
    <t>MoM_Change</t>
  </si>
  <si>
    <t>MoM_Pct</t>
  </si>
  <si>
    <t>Running_Total</t>
  </si>
  <si>
    <t>health_beauty</t>
  </si>
  <si>
    <t>watches_gifts</t>
  </si>
  <si>
    <t>bed_bath_table</t>
  </si>
  <si>
    <t>sports_leisure</t>
  </si>
  <si>
    <t>computers_accessories</t>
  </si>
  <si>
    <t>furniture_decor</t>
  </si>
  <si>
    <t>housewares</t>
  </si>
  <si>
    <t>cool_stuff</t>
  </si>
  <si>
    <r>
      <t>Revenue_Pct</t>
    </r>
    <r>
      <rPr>
        <sz val="10"/>
        <color rgb="FF2E2B29"/>
        <rFont val="Arial"/>
        <family val="2"/>
      </rPr>
      <t> </t>
    </r>
  </si>
  <si>
    <t>Category</t>
  </si>
  <si>
    <r>
      <t>Reviews</t>
    </r>
    <r>
      <rPr>
        <sz val="10"/>
        <color rgb="FF2E2B29"/>
        <rFont val="Arial"/>
        <family val="2"/>
      </rPr>
      <t> </t>
    </r>
  </si>
  <si>
    <t>Pct_Of_Total</t>
  </si>
  <si>
    <t>Review_Score</t>
  </si>
  <si>
    <t>Delivered_Orders</t>
  </si>
  <si>
    <t>Avg_Delivery_Days</t>
  </si>
  <si>
    <t>Avg_Promised_Days</t>
  </si>
  <si>
    <t>Late_Orders</t>
  </si>
  <si>
    <t>Late_Pct</t>
  </si>
  <si>
    <t>Avg_Days_Late</t>
  </si>
  <si>
    <t>Late</t>
  </si>
  <si>
    <t>On Time</t>
  </si>
  <si>
    <t>Delivery_Status</t>
  </si>
  <si>
    <t>Pct_of_Orders</t>
  </si>
  <si>
    <t>Avg_Review_Score</t>
  </si>
  <si>
    <t>One_Star</t>
  </si>
  <si>
    <t>Low_Review_Star</t>
  </si>
  <si>
    <t>Five_Star</t>
  </si>
  <si>
    <t>Repeat (2+ orders)</t>
  </si>
  <si>
    <t>One-time (1 order)</t>
  </si>
  <si>
    <t>Customer_Type</t>
  </si>
  <si>
    <t>Customers</t>
  </si>
  <si>
    <t>Customer_Pct</t>
  </si>
  <si>
    <t>One_Star_Pct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</si>
</sst>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.9"/>
      <color rgb="FF2E2B29"/>
      <name val="Consolas"/>
      <family val="3"/>
    </font>
    <font>
      <sz val="10"/>
      <color rgb="FF2E2B2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164" fontId="0" fillId="0" borderId="1" xfId="1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2C28-2992-4120-BA5F-BF1BF256BAAB}">
  <dimension ref="A1:F22"/>
  <sheetViews>
    <sheetView workbookViewId="0">
      <selection activeCell="E21" sqref="E21"/>
    </sheetView>
  </sheetViews>
  <sheetFormatPr defaultRowHeight="14.4" x14ac:dyDescent="0.3"/>
  <cols>
    <col min="1" max="1" width="10.5546875" bestFit="1" customWidth="1"/>
    <col min="2" max="2" width="6.5546875" bestFit="1" customWidth="1"/>
    <col min="3" max="3" width="11.5546875" bestFit="1" customWidth="1"/>
    <col min="4" max="4" width="11.77734375" bestFit="1" customWidth="1"/>
    <col min="5" max="5" width="8.33203125" bestFit="1" customWidth="1"/>
    <col min="6" max="6" width="12.109375" bestFit="1" customWidth="1"/>
  </cols>
  <sheetData>
    <row r="1" spans="1:6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3">
      <c r="A2" s="4">
        <v>42736</v>
      </c>
      <c r="B2" s="2">
        <v>750</v>
      </c>
      <c r="C2" s="2">
        <v>111798.36</v>
      </c>
      <c r="D2" s="2" t="s">
        <v>0</v>
      </c>
      <c r="E2" s="2" t="s">
        <v>0</v>
      </c>
      <c r="F2" s="2">
        <v>111798.36</v>
      </c>
    </row>
    <row r="3" spans="1:6" x14ac:dyDescent="0.3">
      <c r="A3" s="4">
        <v>42767</v>
      </c>
      <c r="B3" s="2">
        <v>1653</v>
      </c>
      <c r="C3" s="2">
        <v>234223.4</v>
      </c>
      <c r="D3" s="2">
        <v>122425.04</v>
      </c>
      <c r="E3" s="2">
        <v>109.51</v>
      </c>
      <c r="F3" s="2">
        <v>346021.76</v>
      </c>
    </row>
    <row r="4" spans="1:6" x14ac:dyDescent="0.3">
      <c r="A4" s="4">
        <v>42795</v>
      </c>
      <c r="B4" s="2">
        <v>2546</v>
      </c>
      <c r="C4" s="2">
        <v>359198.85</v>
      </c>
      <c r="D4" s="2">
        <v>124975.45</v>
      </c>
      <c r="E4" s="2">
        <v>53.36</v>
      </c>
      <c r="F4" s="2">
        <v>705220.61</v>
      </c>
    </row>
    <row r="5" spans="1:6" x14ac:dyDescent="0.3">
      <c r="A5" s="4">
        <v>42826</v>
      </c>
      <c r="B5" s="2">
        <v>2303</v>
      </c>
      <c r="C5" s="2">
        <v>340669.68</v>
      </c>
      <c r="D5" s="2">
        <v>-18529.169999999998</v>
      </c>
      <c r="E5" s="2">
        <v>-5.16</v>
      </c>
      <c r="F5" s="2">
        <v>1045890.29</v>
      </c>
    </row>
    <row r="6" spans="1:6" x14ac:dyDescent="0.3">
      <c r="A6" s="4">
        <v>42856</v>
      </c>
      <c r="B6" s="2">
        <v>3545</v>
      </c>
      <c r="C6" s="2">
        <v>489159.25</v>
      </c>
      <c r="D6" s="2">
        <v>148489.57</v>
      </c>
      <c r="E6" s="2">
        <v>43.59</v>
      </c>
      <c r="F6" s="2">
        <v>1535049.54</v>
      </c>
    </row>
    <row r="7" spans="1:6" x14ac:dyDescent="0.3">
      <c r="A7" s="4">
        <v>42887</v>
      </c>
      <c r="B7" s="2">
        <v>3135</v>
      </c>
      <c r="C7" s="2">
        <v>421923.37</v>
      </c>
      <c r="D7" s="2">
        <v>-67235.88</v>
      </c>
      <c r="E7" s="2">
        <v>-13.75</v>
      </c>
      <c r="F7" s="2">
        <v>1956972.91</v>
      </c>
    </row>
    <row r="8" spans="1:6" x14ac:dyDescent="0.3">
      <c r="A8" s="4">
        <v>42917</v>
      </c>
      <c r="B8" s="2">
        <v>3872</v>
      </c>
      <c r="C8" s="2">
        <v>481604.52</v>
      </c>
      <c r="D8" s="2">
        <v>59681.15</v>
      </c>
      <c r="E8" s="2">
        <v>14.15</v>
      </c>
      <c r="F8" s="2">
        <v>2438577.4300000002</v>
      </c>
    </row>
    <row r="9" spans="1:6" x14ac:dyDescent="0.3">
      <c r="A9" s="4">
        <v>42948</v>
      </c>
      <c r="B9" s="2">
        <v>4193</v>
      </c>
      <c r="C9" s="2">
        <v>554699.69999999995</v>
      </c>
      <c r="D9" s="2">
        <v>73095.179999999993</v>
      </c>
      <c r="E9" s="2">
        <v>15.18</v>
      </c>
      <c r="F9" s="2">
        <v>2993277.13</v>
      </c>
    </row>
    <row r="10" spans="1:6" x14ac:dyDescent="0.3">
      <c r="A10" s="4">
        <v>42979</v>
      </c>
      <c r="B10" s="2">
        <v>4150</v>
      </c>
      <c r="C10" s="2">
        <v>607399.67000000004</v>
      </c>
      <c r="D10" s="2">
        <v>52699.97</v>
      </c>
      <c r="E10" s="2">
        <v>9.5</v>
      </c>
      <c r="F10" s="2">
        <v>3600676.8</v>
      </c>
    </row>
    <row r="11" spans="1:6" x14ac:dyDescent="0.3">
      <c r="A11" s="4">
        <v>43009</v>
      </c>
      <c r="B11" s="2">
        <v>4478</v>
      </c>
      <c r="C11" s="2">
        <v>648247.65</v>
      </c>
      <c r="D11" s="2">
        <v>40847.980000000003</v>
      </c>
      <c r="E11" s="2">
        <v>6.73</v>
      </c>
      <c r="F11" s="2">
        <v>4248924.45</v>
      </c>
    </row>
    <row r="12" spans="1:6" x14ac:dyDescent="0.3">
      <c r="A12" s="4">
        <v>43040</v>
      </c>
      <c r="B12" s="2">
        <v>7288</v>
      </c>
      <c r="C12" s="2">
        <v>987648.07</v>
      </c>
      <c r="D12" s="2">
        <v>339400.42</v>
      </c>
      <c r="E12" s="2">
        <v>52.36</v>
      </c>
      <c r="F12" s="2">
        <v>5236572.5199999996</v>
      </c>
    </row>
    <row r="13" spans="1:6" x14ac:dyDescent="0.3">
      <c r="A13" s="4">
        <v>43070</v>
      </c>
      <c r="B13" s="2">
        <v>5513</v>
      </c>
      <c r="C13" s="2">
        <v>726033.19</v>
      </c>
      <c r="D13" s="2">
        <v>-261614.88</v>
      </c>
      <c r="E13" s="2">
        <v>-26.49</v>
      </c>
      <c r="F13" s="2">
        <v>5962605.71</v>
      </c>
    </row>
    <row r="14" spans="1:6" x14ac:dyDescent="0.3">
      <c r="A14" s="4">
        <v>43101</v>
      </c>
      <c r="B14" s="2">
        <v>7069</v>
      </c>
      <c r="C14" s="2">
        <v>924645</v>
      </c>
      <c r="D14" s="2">
        <v>198611.81</v>
      </c>
      <c r="E14" s="2">
        <v>27.36</v>
      </c>
      <c r="F14" s="2">
        <v>6887250.71</v>
      </c>
    </row>
    <row r="15" spans="1:6" x14ac:dyDescent="0.3">
      <c r="A15" s="4">
        <v>43132</v>
      </c>
      <c r="B15" s="2">
        <v>6555</v>
      </c>
      <c r="C15" s="2">
        <v>826437.13</v>
      </c>
      <c r="D15" s="2">
        <v>-98207.87</v>
      </c>
      <c r="E15" s="2">
        <v>-10.62</v>
      </c>
      <c r="F15" s="2">
        <v>7713687.8399999999</v>
      </c>
    </row>
    <row r="16" spans="1:6" x14ac:dyDescent="0.3">
      <c r="A16" s="4">
        <v>43160</v>
      </c>
      <c r="B16" s="2">
        <v>7003</v>
      </c>
      <c r="C16" s="2">
        <v>953356.25</v>
      </c>
      <c r="D16" s="2">
        <v>126919.12</v>
      </c>
      <c r="E16" s="2">
        <v>15.36</v>
      </c>
      <c r="F16" s="2">
        <v>8667044.0899999999</v>
      </c>
    </row>
    <row r="17" spans="1:6" x14ac:dyDescent="0.3">
      <c r="A17" s="4">
        <v>43191</v>
      </c>
      <c r="B17" s="2">
        <v>6798</v>
      </c>
      <c r="C17" s="2">
        <v>973534.09</v>
      </c>
      <c r="D17" s="2">
        <v>20177.84</v>
      </c>
      <c r="E17" s="2">
        <v>2.12</v>
      </c>
      <c r="F17" s="2">
        <v>9640578.1799999997</v>
      </c>
    </row>
    <row r="18" spans="1:6" x14ac:dyDescent="0.3">
      <c r="A18" s="4">
        <v>43221</v>
      </c>
      <c r="B18" s="2">
        <v>6749</v>
      </c>
      <c r="C18" s="2">
        <v>977544.69</v>
      </c>
      <c r="D18" s="2">
        <v>4010.6</v>
      </c>
      <c r="E18" s="2">
        <v>0.41</v>
      </c>
      <c r="F18" s="2">
        <v>10618122.869999999</v>
      </c>
    </row>
    <row r="19" spans="1:6" x14ac:dyDescent="0.3">
      <c r="A19" s="4">
        <v>43252</v>
      </c>
      <c r="B19" s="2">
        <v>6096</v>
      </c>
      <c r="C19" s="2">
        <v>855591.97</v>
      </c>
      <c r="D19" s="2">
        <v>-121952.72</v>
      </c>
      <c r="E19" s="2">
        <v>-12.48</v>
      </c>
      <c r="F19" s="2">
        <v>11473714.84</v>
      </c>
    </row>
    <row r="20" spans="1:6" x14ac:dyDescent="0.3">
      <c r="A20" s="4">
        <v>43282</v>
      </c>
      <c r="B20" s="2">
        <v>6156</v>
      </c>
      <c r="C20" s="2">
        <v>867486.47</v>
      </c>
      <c r="D20" s="2">
        <v>11894.5</v>
      </c>
      <c r="E20" s="2">
        <v>1.39</v>
      </c>
      <c r="F20" s="2">
        <v>12341201.310000001</v>
      </c>
    </row>
    <row r="21" spans="1:6" x14ac:dyDescent="0.3">
      <c r="A21" s="4">
        <v>43313</v>
      </c>
      <c r="B21" s="2">
        <v>6351</v>
      </c>
      <c r="C21" s="2">
        <v>838576.64000000001</v>
      </c>
      <c r="D21" s="2">
        <v>-28909.83</v>
      </c>
      <c r="E21" s="2">
        <v>-3.33</v>
      </c>
      <c r="F21" s="2">
        <v>13179777.949999999</v>
      </c>
    </row>
    <row r="22" spans="1:6" x14ac:dyDescent="0.3">
      <c r="A22" s="5"/>
      <c r="B22" s="5"/>
      <c r="C22" s="6">
        <f>SUM(C2:C21)</f>
        <v>13179777.950000001</v>
      </c>
      <c r="D22" s="5"/>
      <c r="E22" s="5"/>
      <c r="F2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F740-A19D-492E-ADD1-3C36B4483DC9}">
  <dimension ref="A1:D10"/>
  <sheetViews>
    <sheetView workbookViewId="0">
      <selection activeCell="B28" sqref="B28"/>
    </sheetView>
  </sheetViews>
  <sheetFormatPr defaultRowHeight="14.4" x14ac:dyDescent="0.3"/>
  <cols>
    <col min="1" max="1" width="20.44140625" bestFit="1" customWidth="1"/>
    <col min="2" max="2" width="6.5546875" bestFit="1" customWidth="1"/>
    <col min="3" max="3" width="11" bestFit="1" customWidth="1"/>
    <col min="4" max="4" width="12.5546875" bestFit="1" customWidth="1"/>
  </cols>
  <sheetData>
    <row r="1" spans="1:4" x14ac:dyDescent="0.3">
      <c r="A1" s="2" t="s">
        <v>16</v>
      </c>
      <c r="B1" s="2" t="s">
        <v>2</v>
      </c>
      <c r="C1" s="2" t="s">
        <v>3</v>
      </c>
      <c r="D1" s="3" t="s">
        <v>15</v>
      </c>
    </row>
    <row r="2" spans="1:4" x14ac:dyDescent="0.3">
      <c r="A2" s="2" t="s">
        <v>7</v>
      </c>
      <c r="B2" s="2">
        <v>8647</v>
      </c>
      <c r="C2" s="2">
        <v>1233131.72</v>
      </c>
      <c r="D2" s="2">
        <v>9.33</v>
      </c>
    </row>
    <row r="3" spans="1:4" x14ac:dyDescent="0.3">
      <c r="A3" s="2" t="s">
        <v>8</v>
      </c>
      <c r="B3" s="2">
        <v>5493</v>
      </c>
      <c r="C3" s="2">
        <v>1165898.98</v>
      </c>
      <c r="D3" s="2">
        <v>8.82</v>
      </c>
    </row>
    <row r="4" spans="1:4" x14ac:dyDescent="0.3">
      <c r="A4" s="2" t="s">
        <v>9</v>
      </c>
      <c r="B4" s="2">
        <v>9272</v>
      </c>
      <c r="C4" s="2">
        <v>1023434.76</v>
      </c>
      <c r="D4" s="2">
        <v>7.74</v>
      </c>
    </row>
    <row r="5" spans="1:4" x14ac:dyDescent="0.3">
      <c r="A5" s="2" t="s">
        <v>10</v>
      </c>
      <c r="B5" s="2">
        <v>7529</v>
      </c>
      <c r="C5" s="2">
        <v>954673.55</v>
      </c>
      <c r="D5" s="2">
        <v>7.22</v>
      </c>
    </row>
    <row r="6" spans="1:4" x14ac:dyDescent="0.3">
      <c r="A6" s="2" t="s">
        <v>11</v>
      </c>
      <c r="B6" s="2">
        <v>6529</v>
      </c>
      <c r="C6" s="2">
        <v>888613.62</v>
      </c>
      <c r="D6" s="2">
        <v>6.72</v>
      </c>
    </row>
    <row r="7" spans="1:4" x14ac:dyDescent="0.3">
      <c r="A7" s="2" t="s">
        <v>12</v>
      </c>
      <c r="B7" s="2">
        <v>6307</v>
      </c>
      <c r="C7" s="2">
        <v>711927.69</v>
      </c>
      <c r="D7" s="2">
        <v>5.39</v>
      </c>
    </row>
    <row r="8" spans="1:4" x14ac:dyDescent="0.3">
      <c r="A8" s="2" t="s">
        <v>13</v>
      </c>
      <c r="B8" s="2">
        <v>5743</v>
      </c>
      <c r="C8" s="2">
        <v>615628.68999999994</v>
      </c>
      <c r="D8" s="2">
        <v>4.66</v>
      </c>
    </row>
    <row r="9" spans="1:4" x14ac:dyDescent="0.3">
      <c r="A9" s="2" t="s">
        <v>14</v>
      </c>
      <c r="B9" s="2">
        <v>3559</v>
      </c>
      <c r="C9" s="2">
        <v>610204.1</v>
      </c>
      <c r="D9" s="2">
        <v>4.62</v>
      </c>
    </row>
    <row r="10" spans="1:4" x14ac:dyDescent="0.3">
      <c r="A10" s="2"/>
      <c r="B10" s="2"/>
      <c r="C10" s="2"/>
      <c r="D10" s="2">
        <f>SUM(D2:D9)</f>
        <v>54.499999999999993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F619-4A6F-487B-ACA5-4DF99340661C}">
  <dimension ref="A1:C7"/>
  <sheetViews>
    <sheetView workbookViewId="0">
      <selection activeCell="C8" sqref="C8"/>
    </sheetView>
  </sheetViews>
  <sheetFormatPr defaultRowHeight="14.4" x14ac:dyDescent="0.3"/>
  <cols>
    <col min="1" max="1" width="12.109375" bestFit="1" customWidth="1"/>
    <col min="2" max="2" width="8.109375" bestFit="1" customWidth="1"/>
    <col min="3" max="3" width="11" bestFit="1" customWidth="1"/>
  </cols>
  <sheetData>
    <row r="1" spans="1:3" x14ac:dyDescent="0.3">
      <c r="A1" s="2" t="s">
        <v>19</v>
      </c>
      <c r="B1" s="2" t="s">
        <v>17</v>
      </c>
      <c r="C1" s="2" t="s">
        <v>18</v>
      </c>
    </row>
    <row r="2" spans="1:3" x14ac:dyDescent="0.3">
      <c r="A2" s="2">
        <v>1</v>
      </c>
      <c r="B2" s="2">
        <v>11424</v>
      </c>
      <c r="C2" s="2">
        <v>11.51</v>
      </c>
    </row>
    <row r="3" spans="1:3" x14ac:dyDescent="0.3">
      <c r="A3" s="2">
        <v>2</v>
      </c>
      <c r="B3" s="2">
        <v>3151</v>
      </c>
      <c r="C3" s="2">
        <v>3.18</v>
      </c>
    </row>
    <row r="4" spans="1:3" x14ac:dyDescent="0.3">
      <c r="A4" s="2">
        <v>3</v>
      </c>
      <c r="B4" s="2">
        <v>8179</v>
      </c>
      <c r="C4" s="2">
        <v>8.24</v>
      </c>
    </row>
    <row r="5" spans="1:3" x14ac:dyDescent="0.3">
      <c r="A5" s="2">
        <v>4</v>
      </c>
      <c r="B5" s="2">
        <v>19142</v>
      </c>
      <c r="C5" s="2">
        <v>19.29</v>
      </c>
    </row>
    <row r="6" spans="1:3" x14ac:dyDescent="0.3">
      <c r="A6" s="2">
        <v>5</v>
      </c>
      <c r="B6" s="2">
        <v>57328</v>
      </c>
      <c r="C6" s="2">
        <v>57.78</v>
      </c>
    </row>
    <row r="7" spans="1:3" x14ac:dyDescent="0.3">
      <c r="B7">
        <f>SUM(B2:B6)</f>
        <v>99224</v>
      </c>
      <c r="C7">
        <f>SUM(C2:C6)</f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AD99-64EC-4202-997A-24508A8A0260}">
  <dimension ref="A1:F2"/>
  <sheetViews>
    <sheetView workbookViewId="0">
      <selection activeCell="D13" sqref="D13"/>
    </sheetView>
  </sheetViews>
  <sheetFormatPr defaultRowHeight="14.4" x14ac:dyDescent="0.3"/>
  <cols>
    <col min="1" max="1" width="15" bestFit="1" customWidth="1"/>
    <col min="2" max="2" width="15.6640625" bestFit="1" customWidth="1"/>
    <col min="3" max="3" width="17" bestFit="1" customWidth="1"/>
    <col min="4" max="4" width="10.77734375" bestFit="1" customWidth="1"/>
    <col min="5" max="5" width="7.88671875" bestFit="1" customWidth="1"/>
    <col min="6" max="6" width="12.6640625" bestFit="1" customWidth="1"/>
  </cols>
  <sheetData>
    <row r="1" spans="1:6" x14ac:dyDescent="0.3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</row>
    <row r="2" spans="1:6" x14ac:dyDescent="0.3">
      <c r="A2" s="8">
        <v>96470</v>
      </c>
      <c r="B2" s="8">
        <v>12</v>
      </c>
      <c r="C2" s="8">
        <v>24</v>
      </c>
      <c r="D2" s="8">
        <v>7826</v>
      </c>
      <c r="E2" s="9">
        <f>D2/A2</f>
        <v>8.1123665388203592E-2</v>
      </c>
      <c r="F2" s="8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3BAB-D85C-4E9B-B4FD-5919CC3A9A57}">
  <dimension ref="A1:H3"/>
  <sheetViews>
    <sheetView workbookViewId="0">
      <selection activeCell="H4" sqref="H4"/>
    </sheetView>
  </sheetViews>
  <sheetFormatPr defaultRowHeight="14.4" x14ac:dyDescent="0.3"/>
  <cols>
    <col min="1" max="1" width="16.109375" bestFit="1" customWidth="1"/>
    <col min="2" max="2" width="8.5546875" bestFit="1" customWidth="1"/>
    <col min="3" max="3" width="12.44140625" bestFit="1" customWidth="1"/>
    <col min="4" max="4" width="15.88671875" bestFit="1" customWidth="1"/>
    <col min="5" max="5" width="8.5546875" bestFit="1" customWidth="1"/>
    <col min="6" max="6" width="8.44140625" bestFit="1" customWidth="1"/>
    <col min="7" max="7" width="14.88671875" bestFit="1" customWidth="1"/>
    <col min="8" max="8" width="11.77734375" bestFit="1" customWidth="1"/>
  </cols>
  <sheetData>
    <row r="1" spans="1:8" x14ac:dyDescent="0.3">
      <c r="A1" s="3" t="s">
        <v>28</v>
      </c>
      <c r="B1" s="2" t="s">
        <v>2</v>
      </c>
      <c r="C1" s="2" t="s">
        <v>29</v>
      </c>
      <c r="D1" s="2" t="s">
        <v>30</v>
      </c>
      <c r="E1" s="2" t="s">
        <v>33</v>
      </c>
      <c r="F1" s="2" t="s">
        <v>31</v>
      </c>
      <c r="G1" s="2" t="s">
        <v>32</v>
      </c>
      <c r="H1" s="2" t="s">
        <v>39</v>
      </c>
    </row>
    <row r="2" spans="1:8" x14ac:dyDescent="0.3">
      <c r="A2" s="2" t="s">
        <v>26</v>
      </c>
      <c r="B2" s="8">
        <v>7700</v>
      </c>
      <c r="C2" s="8">
        <v>7.99</v>
      </c>
      <c r="D2" s="8">
        <v>2.57</v>
      </c>
      <c r="E2" s="8">
        <v>1711</v>
      </c>
      <c r="F2" s="8">
        <v>3554</v>
      </c>
      <c r="G2" s="8">
        <v>54.03</v>
      </c>
      <c r="H2" s="7">
        <f>F2/SUM(F2+F3)</f>
        <v>0.37788410419989366</v>
      </c>
    </row>
    <row r="3" spans="1:8" x14ac:dyDescent="0.3">
      <c r="A3" s="2" t="s">
        <v>27</v>
      </c>
      <c r="B3" s="8">
        <v>88653</v>
      </c>
      <c r="C3" s="8">
        <v>92.01</v>
      </c>
      <c r="D3" s="8">
        <v>4.29</v>
      </c>
      <c r="E3" s="8">
        <v>55348</v>
      </c>
      <c r="F3" s="8">
        <v>5851</v>
      </c>
      <c r="G3" s="8">
        <v>9.23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A539B-D375-4861-83AF-73BAF6ED8E34}">
  <dimension ref="A1:C4"/>
  <sheetViews>
    <sheetView tabSelected="1" workbookViewId="0">
      <selection activeCell="B4" sqref="B4"/>
    </sheetView>
  </sheetViews>
  <sheetFormatPr defaultRowHeight="14.4" x14ac:dyDescent="0.3"/>
  <cols>
    <col min="1" max="1" width="15.77734375" bestFit="1" customWidth="1"/>
    <col min="2" max="2" width="9.77734375" bestFit="1" customWidth="1"/>
    <col min="3" max="3" width="12.33203125" bestFit="1" customWidth="1"/>
  </cols>
  <sheetData>
    <row r="1" spans="1:3" x14ac:dyDescent="0.3">
      <c r="A1" s="2" t="s">
        <v>36</v>
      </c>
      <c r="B1" s="2" t="s">
        <v>37</v>
      </c>
      <c r="C1" s="2" t="s">
        <v>38</v>
      </c>
    </row>
    <row r="2" spans="1:3" x14ac:dyDescent="0.3">
      <c r="A2" s="2" t="s">
        <v>34</v>
      </c>
      <c r="B2" s="8">
        <v>2801</v>
      </c>
      <c r="C2" s="8">
        <v>3</v>
      </c>
    </row>
    <row r="3" spans="1:3" x14ac:dyDescent="0.3">
      <c r="A3" s="2" t="s">
        <v>35</v>
      </c>
      <c r="B3" s="8">
        <v>90549</v>
      </c>
      <c r="C3" s="8">
        <v>97</v>
      </c>
    </row>
    <row r="4" spans="1:3" x14ac:dyDescent="0.3">
      <c r="B4" s="1">
        <f>SUM(B2:B3)</f>
        <v>93350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BFC04F-CE3E-4EE1-A9F1-F3403F9D43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Q2-Monthly</vt:lpstr>
      <vt:lpstr>Q3_Categories </vt:lpstr>
      <vt:lpstr>Q4_Reviews</vt:lpstr>
      <vt:lpstr>Q5_Delivery </vt:lpstr>
      <vt:lpstr>Q6_Late_vs_Review </vt:lpstr>
      <vt:lpstr>Q7_Repeat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sharma</dc:creator>
  <cp:lastModifiedBy>shubham sharma</cp:lastModifiedBy>
  <dcterms:created xsi:type="dcterms:W3CDTF">2026-10-22T10:58:33Z</dcterms:created>
  <dcterms:modified xsi:type="dcterms:W3CDTF">2026-10-22T17:59:13Z</dcterms:modified>
</cp:coreProperties>
</file>